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bba/Downloads/"/>
    </mc:Choice>
  </mc:AlternateContent>
  <xr:revisionPtr revIDLastSave="0" documentId="13_ncr:1_{F5CCD1FA-95D4-8048-9CD7-F8846A828B6B}" xr6:coauthVersionLast="47" xr6:coauthVersionMax="47" xr10:uidLastSave="{00000000-0000-0000-0000-000000000000}"/>
  <bookViews>
    <workbookView xWindow="380" yWindow="600" windowWidth="28040" windowHeight="16660" xr2:uid="{DEAA815C-BBB7-D347-B70C-D50D9117F6C8}"/>
  </bookViews>
  <sheets>
    <sheet name="sahibinden_focu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G72" i="1"/>
  <c r="G69" i="1"/>
  <c r="G70" i="1"/>
  <c r="H67" i="1"/>
  <c r="G67" i="1"/>
  <c r="H65" i="1"/>
  <c r="G65" i="1"/>
  <c r="K51" i="1"/>
  <c r="J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1" i="1"/>
  <c r="I63" i="1"/>
  <c r="H63" i="1"/>
  <c r="G63" i="1"/>
  <c r="I61" i="1"/>
  <c r="H61" i="1"/>
  <c r="G61" i="1"/>
  <c r="I59" i="1"/>
  <c r="H59" i="1"/>
  <c r="G59" i="1"/>
  <c r="I51" i="1"/>
  <c r="H51" i="1"/>
  <c r="G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I1" i="1"/>
  <c r="H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1" i="1"/>
  <c r="C51" i="1"/>
  <c r="B51" i="1"/>
  <c r="A51" i="1"/>
</calcChain>
</file>

<file path=xl/sharedStrings.xml><?xml version="1.0" encoding="utf-8"?>
<sst xmlns="http://schemas.openxmlformats.org/spreadsheetml/2006/main" count="33" uniqueCount="33">
  <si>
    <t>x1-x1bar</t>
  </si>
  <si>
    <t>x1bar</t>
  </si>
  <si>
    <t>x2bar</t>
  </si>
  <si>
    <t>ybar</t>
  </si>
  <si>
    <t>x2-x2bar</t>
  </si>
  <si>
    <t>y-ybar</t>
  </si>
  <si>
    <t>(x1-x1bar)^2</t>
  </si>
  <si>
    <t>(x2-x2bar)^2</t>
  </si>
  <si>
    <t>(y-ybar)^2</t>
  </si>
  <si>
    <t>Variance</t>
  </si>
  <si>
    <t>s_x1^2</t>
  </si>
  <si>
    <t>s_x2^2</t>
  </si>
  <si>
    <t>s_y^2</t>
  </si>
  <si>
    <t>Std. Dev.</t>
  </si>
  <si>
    <t>s_x1</t>
  </si>
  <si>
    <t>s_x2</t>
  </si>
  <si>
    <t>s_y</t>
  </si>
  <si>
    <t>Coeff. Var.</t>
  </si>
  <si>
    <t>cv_x1</t>
  </si>
  <si>
    <t>cv_x2</t>
  </si>
  <si>
    <t>cv_y</t>
  </si>
  <si>
    <t>(x1-x1bar)*(y-ybar)</t>
  </si>
  <si>
    <t>(x2-x2bar)*(y-ybar)</t>
  </si>
  <si>
    <t>Cov.</t>
  </si>
  <si>
    <t>s_x1y</t>
  </si>
  <si>
    <t>s_x2y</t>
  </si>
  <si>
    <t>Corr. Coeff.</t>
  </si>
  <si>
    <t>r_x1y</t>
  </si>
  <si>
    <t>r_x2y</t>
  </si>
  <si>
    <t>a1</t>
  </si>
  <si>
    <t>b1</t>
  </si>
  <si>
    <t>a2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</si>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</sst>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914479440069988E-2"/>
                  <c:y val="0.215047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</c:trendlineLbl>
          </c:trendline>
          <c:xVal>
            <c:numRef>
              <c:f>Sheet1!$A$1:$A$50</c:f>
              <c:numCache>
                <c:formatCode>General</c:formatCode>
                <c:ptCount val="50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  <c:pt idx="12">
                  <c:v>6</c:v>
                </c:pt>
                <c:pt idx="13">
                  <c:v>3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6</c:v>
                </c:pt>
                <c:pt idx="23">
                  <c:v>3</c:v>
                </c:pt>
                <c:pt idx="24">
                  <c:v>3</c:v>
                </c:pt>
                <c:pt idx="25">
                  <c:v>6</c:v>
                </c:pt>
                <c:pt idx="26">
                  <c:v>6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6</c:v>
                </c:pt>
                <c:pt idx="31">
                  <c:v>3</c:v>
                </c:pt>
                <c:pt idx="32">
                  <c:v>6</c:v>
                </c:pt>
                <c:pt idx="33">
                  <c:v>6</c:v>
                </c:pt>
                <c:pt idx="34">
                  <c:v>3</c:v>
                </c:pt>
                <c:pt idx="35">
                  <c:v>3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5</c:v>
                </c:pt>
                <c:pt idx="49">
                  <c:v>3</c:v>
                </c:pt>
              </c:numCache>
            </c:numRef>
          </c:xVal>
          <c:yVal>
            <c:numRef>
              <c:f>Sheet1!$B$1:$B$50</c:f>
              <c:numCache>
                <c:formatCode>General</c:formatCode>
                <c:ptCount val="50"/>
                <c:pt idx="0">
                  <c:v>1375000</c:v>
                </c:pt>
                <c:pt idx="1">
                  <c:v>1620000</c:v>
                </c:pt>
                <c:pt idx="2">
                  <c:v>1760000</c:v>
                </c:pt>
                <c:pt idx="3">
                  <c:v>1119750</c:v>
                </c:pt>
                <c:pt idx="4">
                  <c:v>1129900</c:v>
                </c:pt>
                <c:pt idx="5">
                  <c:v>1335000</c:v>
                </c:pt>
                <c:pt idx="6">
                  <c:v>1185000</c:v>
                </c:pt>
                <c:pt idx="7">
                  <c:v>1695000</c:v>
                </c:pt>
                <c:pt idx="8">
                  <c:v>1469000</c:v>
                </c:pt>
                <c:pt idx="9">
                  <c:v>1285000</c:v>
                </c:pt>
                <c:pt idx="10">
                  <c:v>1425000</c:v>
                </c:pt>
                <c:pt idx="11">
                  <c:v>1360000</c:v>
                </c:pt>
                <c:pt idx="12">
                  <c:v>1450000</c:v>
                </c:pt>
                <c:pt idx="13">
                  <c:v>1460000</c:v>
                </c:pt>
                <c:pt idx="14">
                  <c:v>1600000</c:v>
                </c:pt>
                <c:pt idx="15">
                  <c:v>1189000</c:v>
                </c:pt>
                <c:pt idx="16">
                  <c:v>1189950</c:v>
                </c:pt>
                <c:pt idx="17">
                  <c:v>1635000</c:v>
                </c:pt>
                <c:pt idx="18">
                  <c:v>1295000</c:v>
                </c:pt>
                <c:pt idx="19">
                  <c:v>1660000</c:v>
                </c:pt>
                <c:pt idx="20">
                  <c:v>1760000</c:v>
                </c:pt>
                <c:pt idx="21">
                  <c:v>1799000</c:v>
                </c:pt>
                <c:pt idx="22">
                  <c:v>1355000</c:v>
                </c:pt>
                <c:pt idx="23">
                  <c:v>1710000</c:v>
                </c:pt>
                <c:pt idx="24">
                  <c:v>1695000</c:v>
                </c:pt>
                <c:pt idx="25">
                  <c:v>1475000</c:v>
                </c:pt>
                <c:pt idx="26">
                  <c:v>1320000</c:v>
                </c:pt>
                <c:pt idx="27">
                  <c:v>1609750</c:v>
                </c:pt>
                <c:pt idx="28">
                  <c:v>1689500</c:v>
                </c:pt>
                <c:pt idx="29">
                  <c:v>1525000</c:v>
                </c:pt>
                <c:pt idx="30">
                  <c:v>1195000</c:v>
                </c:pt>
                <c:pt idx="31">
                  <c:v>1715000</c:v>
                </c:pt>
                <c:pt idx="32">
                  <c:v>1320000</c:v>
                </c:pt>
                <c:pt idx="33">
                  <c:v>1384995</c:v>
                </c:pt>
                <c:pt idx="34">
                  <c:v>1650000</c:v>
                </c:pt>
                <c:pt idx="35">
                  <c:v>1710000</c:v>
                </c:pt>
                <c:pt idx="36">
                  <c:v>1520000</c:v>
                </c:pt>
                <c:pt idx="37">
                  <c:v>1390000</c:v>
                </c:pt>
                <c:pt idx="38">
                  <c:v>1384950</c:v>
                </c:pt>
                <c:pt idx="39">
                  <c:v>1199999</c:v>
                </c:pt>
                <c:pt idx="40">
                  <c:v>1390000</c:v>
                </c:pt>
                <c:pt idx="41">
                  <c:v>1295000</c:v>
                </c:pt>
                <c:pt idx="42">
                  <c:v>1650000</c:v>
                </c:pt>
                <c:pt idx="43">
                  <c:v>1725000</c:v>
                </c:pt>
                <c:pt idx="44">
                  <c:v>1650000</c:v>
                </c:pt>
                <c:pt idx="45">
                  <c:v>1555000</c:v>
                </c:pt>
                <c:pt idx="46">
                  <c:v>1435000</c:v>
                </c:pt>
                <c:pt idx="47">
                  <c:v>1695000</c:v>
                </c:pt>
                <c:pt idx="48">
                  <c:v>1359900</c:v>
                </c:pt>
                <c:pt idx="49">
                  <c:v>1550000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00-3C47-A444-D17B78BC8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3152"/>
        <c:axId val="16945088"/>
      </c:scatterChart>
      <c:valAx>
        <c:axId val="1695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6945088"/>
        <c:crosses val="autoZero"/>
        <c:crossBetween val="midCat"/>
      </c:valAx>
      <c:valAx>
        <c:axId val="169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695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11</xdr:row>
      <xdr:rowOff>146050</xdr:rowOff>
    </xdr:from>
    <xdr:to>
      <xdr:col>13</xdr:col>
      <xdr:colOff>311150</xdr:colOff>
      <xdr:row>25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28E000-E1B0-A3D7-5B20-B15F7C365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F96C-BEBF-9C44-810E-89D0119746AE}">
  <dimension ref="A1:K72"/>
  <sheetViews>
    <sheetView tabSelected="1" zoomScale="150" zoomScaleNormal="150" workbookViewId="0">
      <selection activeCell="G71" sqref="G71"/>
    </sheetView>
  </sheetViews>
  <sheetFormatPr baseColWidth="10" defaultRowHeight="16" x14ac:dyDescent="0.2"/>
  <cols>
    <col min="7" max="7" width="16" customWidth="1"/>
    <col min="8" max="8" width="17" customWidth="1"/>
    <col min="9" max="10" width="16.6640625" customWidth="1"/>
    <col min="11" max="11" width="15.83203125" customWidth="1"/>
  </cols>
  <sheetData>
    <row r="1" spans="1:11" x14ac:dyDescent="0.2">
      <c r="A1">
        <v>6</v>
      </c>
      <c r="B1">
        <v>109500</v>
      </c>
      <c r="C1">
        <v>1375000</v>
      </c>
      <c r="D1">
        <f>A1-$A$51</f>
        <v>1.62</v>
      </c>
      <c r="E1">
        <f>B1-$B$51</f>
        <v>8619</v>
      </c>
      <c r="F1">
        <f>C1-$C$51</f>
        <v>-104013.87999999989</v>
      </c>
      <c r="G1">
        <f>POWER(D1,2)</f>
        <v>2.6244000000000005</v>
      </c>
      <c r="H1">
        <f>POWER(E1,2)</f>
        <v>74287161</v>
      </c>
      <c r="I1">
        <f>POWER(F1,2)</f>
        <v>10818887232.654377</v>
      </c>
      <c r="J1">
        <f>D1*F1</f>
        <v>-168502.48559999984</v>
      </c>
      <c r="K1">
        <f>E1*F1</f>
        <v>-896495631.71999907</v>
      </c>
    </row>
    <row r="2" spans="1:11" x14ac:dyDescent="0.2">
      <c r="A2">
        <v>3</v>
      </c>
      <c r="B2">
        <v>38000</v>
      </c>
      <c r="C2">
        <v>1620000</v>
      </c>
      <c r="D2">
        <f t="shared" ref="D2:D50" si="0">A2-$A$51</f>
        <v>-1.38</v>
      </c>
      <c r="E2">
        <f t="shared" ref="E2:E50" si="1">B2-$B$51</f>
        <v>-62881</v>
      </c>
      <c r="F2">
        <f t="shared" ref="F2:F50" si="2">C2-$C$51</f>
        <v>140986.12000000011</v>
      </c>
      <c r="G2">
        <f t="shared" ref="G2:G50" si="3">POWER(D2,2)</f>
        <v>1.9043999999999996</v>
      </c>
      <c r="H2">
        <f t="shared" ref="H2:H50" si="4">POWER(E2,2)</f>
        <v>3954020161</v>
      </c>
      <c r="I2">
        <f t="shared" ref="I2:I50" si="5">POWER(F2,2)</f>
        <v>19877086032.65443</v>
      </c>
      <c r="J2">
        <f t="shared" ref="J2:J50" si="6">D2*F2</f>
        <v>-194560.84560000015</v>
      </c>
      <c r="K2">
        <f t="shared" ref="K2:K50" si="7">E2*F2</f>
        <v>-8865348211.7200069</v>
      </c>
    </row>
    <row r="3" spans="1:11" x14ac:dyDescent="0.2">
      <c r="A3">
        <v>3</v>
      </c>
      <c r="B3">
        <v>45000</v>
      </c>
      <c r="C3">
        <v>1760000</v>
      </c>
      <c r="D3">
        <f t="shared" si="0"/>
        <v>-1.38</v>
      </c>
      <c r="E3">
        <f t="shared" si="1"/>
        <v>-55881</v>
      </c>
      <c r="F3">
        <f t="shared" si="2"/>
        <v>280986.12000000011</v>
      </c>
      <c r="G3">
        <f t="shared" si="3"/>
        <v>1.9043999999999996</v>
      </c>
      <c r="H3">
        <f t="shared" si="4"/>
        <v>3122686161</v>
      </c>
      <c r="I3">
        <f t="shared" si="5"/>
        <v>78953199632.654465</v>
      </c>
      <c r="J3">
        <f t="shared" si="6"/>
        <v>-387760.84560000012</v>
      </c>
      <c r="K3">
        <f t="shared" si="7"/>
        <v>-15701785371.720007</v>
      </c>
    </row>
    <row r="4" spans="1:11" x14ac:dyDescent="0.2">
      <c r="A4">
        <v>6</v>
      </c>
      <c r="B4">
        <v>165000</v>
      </c>
      <c r="C4">
        <v>1119750</v>
      </c>
      <c r="D4">
        <f t="shared" si="0"/>
        <v>1.62</v>
      </c>
      <c r="E4">
        <f t="shared" si="1"/>
        <v>64119</v>
      </c>
      <c r="F4">
        <f t="shared" si="2"/>
        <v>-359263.87999999989</v>
      </c>
      <c r="G4">
        <f t="shared" si="3"/>
        <v>2.6244000000000005</v>
      </c>
      <c r="H4">
        <f t="shared" si="4"/>
        <v>4111246161</v>
      </c>
      <c r="I4">
        <f t="shared" si="5"/>
        <v>129070535472.65431</v>
      </c>
      <c r="J4">
        <f t="shared" si="6"/>
        <v>-582007.4855999999</v>
      </c>
      <c r="K4">
        <f t="shared" si="7"/>
        <v>-23035640721.719994</v>
      </c>
    </row>
    <row r="5" spans="1:11" x14ac:dyDescent="0.2">
      <c r="A5">
        <v>6</v>
      </c>
      <c r="B5">
        <v>130000</v>
      </c>
      <c r="C5">
        <v>1129900</v>
      </c>
      <c r="D5">
        <f t="shared" si="0"/>
        <v>1.62</v>
      </c>
      <c r="E5">
        <f t="shared" si="1"/>
        <v>29119</v>
      </c>
      <c r="F5">
        <f t="shared" si="2"/>
        <v>-349113.87999999989</v>
      </c>
      <c r="G5">
        <f t="shared" si="3"/>
        <v>2.6244000000000005</v>
      </c>
      <c r="H5">
        <f t="shared" si="4"/>
        <v>847916161</v>
      </c>
      <c r="I5">
        <f t="shared" si="5"/>
        <v>121880501208.65433</v>
      </c>
      <c r="J5">
        <f t="shared" si="6"/>
        <v>-565564.4855999999</v>
      </c>
      <c r="K5">
        <f t="shared" si="7"/>
        <v>-10165847071.719997</v>
      </c>
    </row>
    <row r="6" spans="1:11" x14ac:dyDescent="0.2">
      <c r="A6">
        <v>5</v>
      </c>
      <c r="B6">
        <v>153900</v>
      </c>
      <c r="C6">
        <v>1335000</v>
      </c>
      <c r="D6">
        <f t="shared" si="0"/>
        <v>0.62000000000000011</v>
      </c>
      <c r="E6">
        <f t="shared" si="1"/>
        <v>53019</v>
      </c>
      <c r="F6">
        <f t="shared" si="2"/>
        <v>-144013.87999999989</v>
      </c>
      <c r="G6">
        <f t="shared" si="3"/>
        <v>0.38440000000000013</v>
      </c>
      <c r="H6">
        <f t="shared" si="4"/>
        <v>2811014361</v>
      </c>
      <c r="I6">
        <f t="shared" si="5"/>
        <v>20739997632.654369</v>
      </c>
      <c r="J6">
        <f t="shared" si="6"/>
        <v>-89288.605599999952</v>
      </c>
      <c r="K6">
        <f t="shared" si="7"/>
        <v>-7635471903.7199945</v>
      </c>
    </row>
    <row r="7" spans="1:11" x14ac:dyDescent="0.2">
      <c r="A7">
        <v>6</v>
      </c>
      <c r="B7">
        <v>153610</v>
      </c>
      <c r="C7">
        <v>1185000</v>
      </c>
      <c r="D7">
        <f t="shared" si="0"/>
        <v>1.62</v>
      </c>
      <c r="E7">
        <f t="shared" si="1"/>
        <v>52729</v>
      </c>
      <c r="F7">
        <f t="shared" si="2"/>
        <v>-294013.87999999989</v>
      </c>
      <c r="G7">
        <f t="shared" si="3"/>
        <v>2.6244000000000005</v>
      </c>
      <c r="H7">
        <f t="shared" si="4"/>
        <v>2780347441</v>
      </c>
      <c r="I7">
        <f t="shared" si="5"/>
        <v>86444161632.654327</v>
      </c>
      <c r="J7">
        <f t="shared" si="6"/>
        <v>-476302.48559999984</v>
      </c>
      <c r="K7">
        <f t="shared" si="7"/>
        <v>-15503057878.519995</v>
      </c>
    </row>
    <row r="8" spans="1:11" x14ac:dyDescent="0.2">
      <c r="A8">
        <v>3</v>
      </c>
      <c r="B8">
        <v>87000</v>
      </c>
      <c r="C8">
        <v>1695000</v>
      </c>
      <c r="D8">
        <f t="shared" si="0"/>
        <v>-1.38</v>
      </c>
      <c r="E8">
        <f t="shared" si="1"/>
        <v>-13881</v>
      </c>
      <c r="F8">
        <f t="shared" si="2"/>
        <v>215986.12000000011</v>
      </c>
      <c r="G8">
        <f t="shared" si="3"/>
        <v>1.9043999999999996</v>
      </c>
      <c r="H8">
        <f t="shared" si="4"/>
        <v>192682161</v>
      </c>
      <c r="I8">
        <f t="shared" si="5"/>
        <v>46650004032.654449</v>
      </c>
      <c r="J8">
        <f t="shared" si="6"/>
        <v>-298060.84560000012</v>
      </c>
      <c r="K8">
        <f t="shared" si="7"/>
        <v>-2998103331.7200017</v>
      </c>
    </row>
    <row r="9" spans="1:11" x14ac:dyDescent="0.2">
      <c r="A9">
        <v>3</v>
      </c>
      <c r="B9">
        <v>85000</v>
      </c>
      <c r="C9">
        <v>1469000</v>
      </c>
      <c r="D9">
        <f t="shared" si="0"/>
        <v>-1.38</v>
      </c>
      <c r="E9">
        <f t="shared" si="1"/>
        <v>-15881</v>
      </c>
      <c r="F9">
        <f t="shared" si="2"/>
        <v>-10013.879999999888</v>
      </c>
      <c r="G9">
        <f t="shared" si="3"/>
        <v>1.9043999999999996</v>
      </c>
      <c r="H9">
        <f t="shared" si="4"/>
        <v>252206161</v>
      </c>
      <c r="I9">
        <f t="shared" si="5"/>
        <v>100277792.65439776</v>
      </c>
      <c r="J9">
        <f t="shared" si="6"/>
        <v>13819.154399999845</v>
      </c>
      <c r="K9">
        <f t="shared" si="7"/>
        <v>159030428.27999821</v>
      </c>
    </row>
    <row r="10" spans="1:11" x14ac:dyDescent="0.2">
      <c r="A10">
        <v>5</v>
      </c>
      <c r="B10">
        <v>143148</v>
      </c>
      <c r="C10">
        <v>1285000</v>
      </c>
      <c r="D10">
        <f t="shared" si="0"/>
        <v>0.62000000000000011</v>
      </c>
      <c r="E10">
        <f t="shared" si="1"/>
        <v>42267</v>
      </c>
      <c r="F10">
        <f t="shared" si="2"/>
        <v>-194013.87999999989</v>
      </c>
      <c r="G10">
        <f t="shared" si="3"/>
        <v>0.38440000000000013</v>
      </c>
      <c r="H10">
        <f t="shared" si="4"/>
        <v>1786499289</v>
      </c>
      <c r="I10">
        <f t="shared" si="5"/>
        <v>37641385632.654358</v>
      </c>
      <c r="J10">
        <f t="shared" si="6"/>
        <v>-120288.60559999995</v>
      </c>
      <c r="K10">
        <f t="shared" si="7"/>
        <v>-8200384665.9599953</v>
      </c>
    </row>
    <row r="11" spans="1:11" x14ac:dyDescent="0.2">
      <c r="A11">
        <v>3</v>
      </c>
      <c r="B11">
        <v>73000</v>
      </c>
      <c r="C11">
        <v>1425000</v>
      </c>
      <c r="D11">
        <f t="shared" si="0"/>
        <v>-1.38</v>
      </c>
      <c r="E11">
        <f t="shared" si="1"/>
        <v>-27881</v>
      </c>
      <c r="F11">
        <f t="shared" si="2"/>
        <v>-54013.879999999888</v>
      </c>
      <c r="G11">
        <f t="shared" si="3"/>
        <v>1.9043999999999996</v>
      </c>
      <c r="H11">
        <f t="shared" si="4"/>
        <v>777350161</v>
      </c>
      <c r="I11">
        <f t="shared" si="5"/>
        <v>2917499232.654388</v>
      </c>
      <c r="J11">
        <f t="shared" si="6"/>
        <v>74539.154399999839</v>
      </c>
      <c r="K11">
        <f t="shared" si="7"/>
        <v>1505960988.2799969</v>
      </c>
    </row>
    <row r="12" spans="1:11" x14ac:dyDescent="0.2">
      <c r="A12">
        <v>5</v>
      </c>
      <c r="B12">
        <v>140000</v>
      </c>
      <c r="C12">
        <v>1360000</v>
      </c>
      <c r="D12">
        <f t="shared" si="0"/>
        <v>0.62000000000000011</v>
      </c>
      <c r="E12">
        <f t="shared" si="1"/>
        <v>39119</v>
      </c>
      <c r="F12">
        <f t="shared" si="2"/>
        <v>-119013.87999999989</v>
      </c>
      <c r="G12">
        <f t="shared" si="3"/>
        <v>0.38440000000000013</v>
      </c>
      <c r="H12">
        <f t="shared" si="4"/>
        <v>1530296161</v>
      </c>
      <c r="I12">
        <f t="shared" si="5"/>
        <v>14164303632.654373</v>
      </c>
      <c r="J12">
        <f t="shared" si="6"/>
        <v>-73788.605599999937</v>
      </c>
      <c r="K12">
        <f t="shared" si="7"/>
        <v>-4655703971.7199955</v>
      </c>
    </row>
    <row r="13" spans="1:11" x14ac:dyDescent="0.2">
      <c r="A13">
        <v>6</v>
      </c>
      <c r="B13">
        <v>130000</v>
      </c>
      <c r="C13">
        <v>1450000</v>
      </c>
      <c r="D13">
        <f t="shared" si="0"/>
        <v>1.62</v>
      </c>
      <c r="E13">
        <f t="shared" si="1"/>
        <v>29119</v>
      </c>
      <c r="F13">
        <f t="shared" si="2"/>
        <v>-29013.879999999888</v>
      </c>
      <c r="G13">
        <f t="shared" si="3"/>
        <v>2.6244000000000005</v>
      </c>
      <c r="H13">
        <f t="shared" si="4"/>
        <v>847916161</v>
      </c>
      <c r="I13">
        <f t="shared" si="5"/>
        <v>841805232.65439355</v>
      </c>
      <c r="J13">
        <f t="shared" si="6"/>
        <v>-47002.485599999825</v>
      </c>
      <c r="K13">
        <f t="shared" si="7"/>
        <v>-844855171.71999669</v>
      </c>
    </row>
    <row r="14" spans="1:11" x14ac:dyDescent="0.2">
      <c r="A14">
        <v>3</v>
      </c>
      <c r="B14">
        <v>78000</v>
      </c>
      <c r="C14">
        <v>1460000</v>
      </c>
      <c r="D14">
        <f t="shared" si="0"/>
        <v>-1.38</v>
      </c>
      <c r="E14">
        <f t="shared" si="1"/>
        <v>-22881</v>
      </c>
      <c r="F14">
        <f t="shared" si="2"/>
        <v>-19013.879999999888</v>
      </c>
      <c r="G14">
        <f t="shared" si="3"/>
        <v>1.9043999999999996</v>
      </c>
      <c r="H14">
        <f t="shared" si="4"/>
        <v>523540161</v>
      </c>
      <c r="I14">
        <f t="shared" si="5"/>
        <v>361527632.65439576</v>
      </c>
      <c r="J14">
        <f t="shared" si="6"/>
        <v>26239.154399999843</v>
      </c>
      <c r="K14">
        <f t="shared" si="7"/>
        <v>435056588.27999747</v>
      </c>
    </row>
    <row r="15" spans="1:11" x14ac:dyDescent="0.2">
      <c r="A15">
        <v>6</v>
      </c>
      <c r="B15">
        <v>133000</v>
      </c>
      <c r="C15">
        <v>1600000</v>
      </c>
      <c r="D15">
        <f t="shared" si="0"/>
        <v>1.62</v>
      </c>
      <c r="E15">
        <f t="shared" si="1"/>
        <v>32119</v>
      </c>
      <c r="F15">
        <f t="shared" si="2"/>
        <v>120986.12000000011</v>
      </c>
      <c r="G15">
        <f t="shared" si="3"/>
        <v>2.6244000000000005</v>
      </c>
      <c r="H15">
        <f t="shared" si="4"/>
        <v>1031630161</v>
      </c>
      <c r="I15">
        <f t="shared" si="5"/>
        <v>14637641232.654427</v>
      </c>
      <c r="J15">
        <f t="shared" si="6"/>
        <v>195997.51440000019</v>
      </c>
      <c r="K15">
        <f t="shared" si="7"/>
        <v>3885953188.2800035</v>
      </c>
    </row>
    <row r="16" spans="1:11" x14ac:dyDescent="0.2">
      <c r="A16">
        <v>5</v>
      </c>
      <c r="B16">
        <v>220000</v>
      </c>
      <c r="C16">
        <v>1189000</v>
      </c>
      <c r="D16">
        <f t="shared" si="0"/>
        <v>0.62000000000000011</v>
      </c>
      <c r="E16">
        <f t="shared" si="1"/>
        <v>119119</v>
      </c>
      <c r="F16">
        <f t="shared" si="2"/>
        <v>-290013.87999999989</v>
      </c>
      <c r="G16">
        <f t="shared" si="3"/>
        <v>0.38440000000000013</v>
      </c>
      <c r="H16">
        <f t="shared" si="4"/>
        <v>14189336161</v>
      </c>
      <c r="I16">
        <f t="shared" si="5"/>
        <v>84108050592.654343</v>
      </c>
      <c r="J16">
        <f t="shared" si="6"/>
        <v>-179808.60559999995</v>
      </c>
      <c r="K16">
        <f t="shared" si="7"/>
        <v>-34546163371.719986</v>
      </c>
    </row>
    <row r="17" spans="1:11" x14ac:dyDescent="0.2">
      <c r="A17">
        <v>6</v>
      </c>
      <c r="B17">
        <v>183000</v>
      </c>
      <c r="C17">
        <v>1189950</v>
      </c>
      <c r="D17">
        <f t="shared" si="0"/>
        <v>1.62</v>
      </c>
      <c r="E17">
        <f t="shared" si="1"/>
        <v>82119</v>
      </c>
      <c r="F17">
        <f t="shared" si="2"/>
        <v>-289063.87999999989</v>
      </c>
      <c r="G17">
        <f t="shared" si="3"/>
        <v>2.6244000000000005</v>
      </c>
      <c r="H17">
        <f t="shared" si="4"/>
        <v>6743530161</v>
      </c>
      <c r="I17">
        <f t="shared" si="5"/>
        <v>83557926720.654343</v>
      </c>
      <c r="J17">
        <f t="shared" si="6"/>
        <v>-468283.48559999984</v>
      </c>
      <c r="K17">
        <f t="shared" si="7"/>
        <v>-23737636761.71999</v>
      </c>
    </row>
    <row r="18" spans="1:11" x14ac:dyDescent="0.2">
      <c r="A18">
        <v>3</v>
      </c>
      <c r="B18">
        <v>63515</v>
      </c>
      <c r="C18">
        <v>1635000</v>
      </c>
      <c r="D18">
        <f t="shared" si="0"/>
        <v>-1.38</v>
      </c>
      <c r="E18">
        <f t="shared" si="1"/>
        <v>-37366</v>
      </c>
      <c r="F18">
        <f t="shared" si="2"/>
        <v>155986.12000000011</v>
      </c>
      <c r="G18">
        <f t="shared" si="3"/>
        <v>1.9043999999999996</v>
      </c>
      <c r="H18">
        <f t="shared" si="4"/>
        <v>1396217956</v>
      </c>
      <c r="I18">
        <f t="shared" si="5"/>
        <v>24331669632.654434</v>
      </c>
      <c r="J18">
        <f t="shared" si="6"/>
        <v>-215260.84560000015</v>
      </c>
      <c r="K18">
        <f t="shared" si="7"/>
        <v>-5828577359.9200039</v>
      </c>
    </row>
    <row r="19" spans="1:11" x14ac:dyDescent="0.2">
      <c r="A19">
        <v>6</v>
      </c>
      <c r="B19">
        <v>158000</v>
      </c>
      <c r="C19">
        <v>1295000</v>
      </c>
      <c r="D19">
        <f t="shared" si="0"/>
        <v>1.62</v>
      </c>
      <c r="E19">
        <f t="shared" si="1"/>
        <v>57119</v>
      </c>
      <c r="F19">
        <f t="shared" si="2"/>
        <v>-184013.87999999989</v>
      </c>
      <c r="G19">
        <f t="shared" si="3"/>
        <v>2.6244000000000005</v>
      </c>
      <c r="H19">
        <f t="shared" si="4"/>
        <v>3262580161</v>
      </c>
      <c r="I19">
        <f t="shared" si="5"/>
        <v>33861108032.654358</v>
      </c>
      <c r="J19">
        <f t="shared" si="6"/>
        <v>-298102.48559999984</v>
      </c>
      <c r="K19">
        <f t="shared" si="7"/>
        <v>-10510688811.719994</v>
      </c>
    </row>
    <row r="20" spans="1:11" x14ac:dyDescent="0.2">
      <c r="A20">
        <v>3</v>
      </c>
      <c r="B20">
        <v>63000</v>
      </c>
      <c r="C20">
        <v>1660000</v>
      </c>
      <c r="D20">
        <f t="shared" si="0"/>
        <v>-1.38</v>
      </c>
      <c r="E20">
        <f t="shared" si="1"/>
        <v>-37881</v>
      </c>
      <c r="F20">
        <f t="shared" si="2"/>
        <v>180986.12000000011</v>
      </c>
      <c r="G20">
        <f t="shared" si="3"/>
        <v>1.9043999999999996</v>
      </c>
      <c r="H20">
        <f t="shared" si="4"/>
        <v>1434970161</v>
      </c>
      <c r="I20">
        <f t="shared" si="5"/>
        <v>32755975632.654442</v>
      </c>
      <c r="J20">
        <f t="shared" si="6"/>
        <v>-249760.84560000015</v>
      </c>
      <c r="K20">
        <f t="shared" si="7"/>
        <v>-6855935211.7200041</v>
      </c>
    </row>
    <row r="21" spans="1:11" x14ac:dyDescent="0.2">
      <c r="A21">
        <v>3</v>
      </c>
      <c r="B21">
        <v>44000</v>
      </c>
      <c r="C21">
        <v>1760000</v>
      </c>
      <c r="D21">
        <f t="shared" si="0"/>
        <v>-1.38</v>
      </c>
      <c r="E21">
        <f t="shared" si="1"/>
        <v>-56881</v>
      </c>
      <c r="F21">
        <f t="shared" si="2"/>
        <v>280986.12000000011</v>
      </c>
      <c r="G21">
        <f t="shared" si="3"/>
        <v>1.9043999999999996</v>
      </c>
      <c r="H21">
        <f t="shared" si="4"/>
        <v>3235448161</v>
      </c>
      <c r="I21">
        <f t="shared" si="5"/>
        <v>78953199632.654465</v>
      </c>
      <c r="J21">
        <f t="shared" si="6"/>
        <v>-387760.84560000012</v>
      </c>
      <c r="K21">
        <f t="shared" si="7"/>
        <v>-15982771491.720007</v>
      </c>
    </row>
    <row r="22" spans="1:11" x14ac:dyDescent="0.2">
      <c r="A22">
        <v>3</v>
      </c>
      <c r="B22">
        <v>6572</v>
      </c>
      <c r="C22">
        <v>1799000</v>
      </c>
      <c r="D22">
        <f t="shared" si="0"/>
        <v>-1.38</v>
      </c>
      <c r="E22">
        <f t="shared" si="1"/>
        <v>-94309</v>
      </c>
      <c r="F22">
        <f t="shared" si="2"/>
        <v>319986.12000000011</v>
      </c>
      <c r="G22">
        <f t="shared" si="3"/>
        <v>1.9043999999999996</v>
      </c>
      <c r="H22">
        <f t="shared" si="4"/>
        <v>8894187481</v>
      </c>
      <c r="I22">
        <f t="shared" si="5"/>
        <v>102391116992.65446</v>
      </c>
      <c r="J22">
        <f t="shared" si="6"/>
        <v>-441580.84560000012</v>
      </c>
      <c r="K22">
        <f t="shared" si="7"/>
        <v>-30177570991.080009</v>
      </c>
    </row>
    <row r="23" spans="1:11" x14ac:dyDescent="0.2">
      <c r="A23">
        <v>6</v>
      </c>
      <c r="B23">
        <v>144000</v>
      </c>
      <c r="C23">
        <v>1355000</v>
      </c>
      <c r="D23">
        <f t="shared" si="0"/>
        <v>1.62</v>
      </c>
      <c r="E23">
        <f t="shared" si="1"/>
        <v>43119</v>
      </c>
      <c r="F23">
        <f t="shared" si="2"/>
        <v>-124013.87999999989</v>
      </c>
      <c r="G23">
        <f t="shared" si="3"/>
        <v>2.6244000000000005</v>
      </c>
      <c r="H23">
        <f t="shared" si="4"/>
        <v>1859248161</v>
      </c>
      <c r="I23">
        <f t="shared" si="5"/>
        <v>15379442432.654373</v>
      </c>
      <c r="J23">
        <f t="shared" si="6"/>
        <v>-200902.48559999984</v>
      </c>
      <c r="K23">
        <f t="shared" si="7"/>
        <v>-5347354491.7199955</v>
      </c>
    </row>
    <row r="24" spans="1:11" x14ac:dyDescent="0.2">
      <c r="A24">
        <v>3</v>
      </c>
      <c r="B24">
        <v>41000</v>
      </c>
      <c r="C24">
        <v>1710000</v>
      </c>
      <c r="D24">
        <f t="shared" si="0"/>
        <v>-1.38</v>
      </c>
      <c r="E24">
        <f t="shared" si="1"/>
        <v>-59881</v>
      </c>
      <c r="F24">
        <f t="shared" si="2"/>
        <v>230986.12000000011</v>
      </c>
      <c r="G24">
        <f t="shared" si="3"/>
        <v>1.9043999999999996</v>
      </c>
      <c r="H24">
        <f t="shared" si="4"/>
        <v>3585734161</v>
      </c>
      <c r="I24">
        <f t="shared" si="5"/>
        <v>53354587632.654449</v>
      </c>
      <c r="J24">
        <f t="shared" si="6"/>
        <v>-318760.84560000012</v>
      </c>
      <c r="K24">
        <f t="shared" si="7"/>
        <v>-13831679851.720007</v>
      </c>
    </row>
    <row r="25" spans="1:11" x14ac:dyDescent="0.2">
      <c r="A25">
        <v>3</v>
      </c>
      <c r="B25">
        <v>49000</v>
      </c>
      <c r="C25">
        <v>1695000</v>
      </c>
      <c r="D25">
        <f t="shared" si="0"/>
        <v>-1.38</v>
      </c>
      <c r="E25">
        <f t="shared" si="1"/>
        <v>-51881</v>
      </c>
      <c r="F25">
        <f t="shared" si="2"/>
        <v>215986.12000000011</v>
      </c>
      <c r="G25">
        <f t="shared" si="3"/>
        <v>1.9043999999999996</v>
      </c>
      <c r="H25">
        <f t="shared" si="4"/>
        <v>2691638161</v>
      </c>
      <c r="I25">
        <f t="shared" si="5"/>
        <v>46650004032.654449</v>
      </c>
      <c r="J25">
        <f t="shared" si="6"/>
        <v>-298060.84560000012</v>
      </c>
      <c r="K25">
        <f t="shared" si="7"/>
        <v>-11205575891.720005</v>
      </c>
    </row>
    <row r="26" spans="1:11" x14ac:dyDescent="0.2">
      <c r="A26">
        <v>6</v>
      </c>
      <c r="B26">
        <v>88000</v>
      </c>
      <c r="C26">
        <v>1475000</v>
      </c>
      <c r="D26">
        <f t="shared" si="0"/>
        <v>1.62</v>
      </c>
      <c r="E26">
        <f t="shared" si="1"/>
        <v>-12881</v>
      </c>
      <c r="F26">
        <f t="shared" si="2"/>
        <v>-4013.8799999998882</v>
      </c>
      <c r="G26">
        <f t="shared" si="3"/>
        <v>2.6244000000000005</v>
      </c>
      <c r="H26">
        <f t="shared" si="4"/>
        <v>165920161</v>
      </c>
      <c r="I26">
        <f t="shared" si="5"/>
        <v>16111232.654399103</v>
      </c>
      <c r="J26">
        <f t="shared" si="6"/>
        <v>-6502.485599999819</v>
      </c>
      <c r="K26">
        <f t="shared" si="7"/>
        <v>51702788.279998563</v>
      </c>
    </row>
    <row r="27" spans="1:11" x14ac:dyDescent="0.2">
      <c r="A27">
        <v>6</v>
      </c>
      <c r="B27">
        <v>160000</v>
      </c>
      <c r="C27">
        <v>1320000</v>
      </c>
      <c r="D27">
        <f t="shared" si="0"/>
        <v>1.62</v>
      </c>
      <c r="E27">
        <f t="shared" si="1"/>
        <v>59119</v>
      </c>
      <c r="F27">
        <f t="shared" si="2"/>
        <v>-159013.87999999989</v>
      </c>
      <c r="G27">
        <f t="shared" si="3"/>
        <v>2.6244000000000005</v>
      </c>
      <c r="H27">
        <f t="shared" si="4"/>
        <v>3495056161</v>
      </c>
      <c r="I27">
        <f t="shared" si="5"/>
        <v>25285414032.654366</v>
      </c>
      <c r="J27">
        <f t="shared" si="6"/>
        <v>-257602.48559999984</v>
      </c>
      <c r="K27">
        <f t="shared" si="7"/>
        <v>-9400741571.7199936</v>
      </c>
    </row>
    <row r="28" spans="1:11" x14ac:dyDescent="0.2">
      <c r="A28">
        <v>3</v>
      </c>
      <c r="B28">
        <v>34999</v>
      </c>
      <c r="C28">
        <v>1609750</v>
      </c>
      <c r="D28">
        <f t="shared" si="0"/>
        <v>-1.38</v>
      </c>
      <c r="E28">
        <f t="shared" si="1"/>
        <v>-65882</v>
      </c>
      <c r="F28">
        <f t="shared" si="2"/>
        <v>130736.12000000011</v>
      </c>
      <c r="G28">
        <f t="shared" si="3"/>
        <v>1.9043999999999996</v>
      </c>
      <c r="H28">
        <f t="shared" si="4"/>
        <v>4340437924</v>
      </c>
      <c r="I28">
        <f t="shared" si="5"/>
        <v>17091933072.654428</v>
      </c>
      <c r="J28">
        <f t="shared" si="6"/>
        <v>-180415.84560000015</v>
      </c>
      <c r="K28">
        <f t="shared" si="7"/>
        <v>-8613157057.8400078</v>
      </c>
    </row>
    <row r="29" spans="1:11" x14ac:dyDescent="0.2">
      <c r="A29">
        <v>3</v>
      </c>
      <c r="B29">
        <v>95000</v>
      </c>
      <c r="C29">
        <v>1689500</v>
      </c>
      <c r="D29">
        <f t="shared" si="0"/>
        <v>-1.38</v>
      </c>
      <c r="E29">
        <f t="shared" si="1"/>
        <v>-5881</v>
      </c>
      <c r="F29">
        <f t="shared" si="2"/>
        <v>210486.12000000011</v>
      </c>
      <c r="G29">
        <f t="shared" si="3"/>
        <v>1.9043999999999996</v>
      </c>
      <c r="H29">
        <f t="shared" si="4"/>
        <v>34586161</v>
      </c>
      <c r="I29">
        <f t="shared" si="5"/>
        <v>44304406712.654449</v>
      </c>
      <c r="J29">
        <f t="shared" si="6"/>
        <v>-290470.84560000012</v>
      </c>
      <c r="K29">
        <f t="shared" si="7"/>
        <v>-1237868871.7200007</v>
      </c>
    </row>
    <row r="30" spans="1:11" x14ac:dyDescent="0.2">
      <c r="A30">
        <v>3</v>
      </c>
      <c r="B30">
        <v>89000</v>
      </c>
      <c r="C30">
        <v>1525000</v>
      </c>
      <c r="D30">
        <f t="shared" si="0"/>
        <v>-1.38</v>
      </c>
      <c r="E30">
        <f t="shared" si="1"/>
        <v>-11881</v>
      </c>
      <c r="F30">
        <f t="shared" si="2"/>
        <v>45986.120000000112</v>
      </c>
      <c r="G30">
        <f t="shared" si="3"/>
        <v>1.9043999999999996</v>
      </c>
      <c r="H30">
        <f t="shared" si="4"/>
        <v>141158161</v>
      </c>
      <c r="I30">
        <f t="shared" si="5"/>
        <v>2114723232.6544104</v>
      </c>
      <c r="J30">
        <f t="shared" si="6"/>
        <v>-63460.845600000146</v>
      </c>
      <c r="K30">
        <f t="shared" si="7"/>
        <v>-546361091.72000134</v>
      </c>
    </row>
    <row r="31" spans="1:11" x14ac:dyDescent="0.2">
      <c r="A31">
        <v>6</v>
      </c>
      <c r="B31">
        <v>165000</v>
      </c>
      <c r="C31">
        <v>1195000</v>
      </c>
      <c r="D31">
        <f t="shared" si="0"/>
        <v>1.62</v>
      </c>
      <c r="E31">
        <f t="shared" si="1"/>
        <v>64119</v>
      </c>
      <c r="F31">
        <f t="shared" si="2"/>
        <v>-284013.87999999989</v>
      </c>
      <c r="G31">
        <f t="shared" si="3"/>
        <v>2.6244000000000005</v>
      </c>
      <c r="H31">
        <f t="shared" si="4"/>
        <v>4111246161</v>
      </c>
      <c r="I31">
        <f t="shared" si="5"/>
        <v>80663884032.654343</v>
      </c>
      <c r="J31">
        <f t="shared" si="6"/>
        <v>-460102.48559999984</v>
      </c>
      <c r="K31">
        <f t="shared" si="7"/>
        <v>-18210685971.719994</v>
      </c>
    </row>
    <row r="32" spans="1:11" x14ac:dyDescent="0.2">
      <c r="A32">
        <v>3</v>
      </c>
      <c r="B32">
        <v>35000</v>
      </c>
      <c r="C32">
        <v>1715000</v>
      </c>
      <c r="D32">
        <f t="shared" si="0"/>
        <v>-1.38</v>
      </c>
      <c r="E32">
        <f t="shared" si="1"/>
        <v>-65881</v>
      </c>
      <c r="F32">
        <f t="shared" si="2"/>
        <v>235986.12000000011</v>
      </c>
      <c r="G32">
        <f t="shared" si="3"/>
        <v>1.9043999999999996</v>
      </c>
      <c r="H32">
        <f t="shared" si="4"/>
        <v>4340306161</v>
      </c>
      <c r="I32">
        <f t="shared" si="5"/>
        <v>55689448832.654449</v>
      </c>
      <c r="J32">
        <f t="shared" si="6"/>
        <v>-325660.84560000012</v>
      </c>
      <c r="K32">
        <f t="shared" si="7"/>
        <v>-15547001571.720007</v>
      </c>
    </row>
    <row r="33" spans="1:11" x14ac:dyDescent="0.2">
      <c r="A33">
        <v>6</v>
      </c>
      <c r="B33">
        <v>131000</v>
      </c>
      <c r="C33">
        <v>1320000</v>
      </c>
      <c r="D33">
        <f t="shared" si="0"/>
        <v>1.62</v>
      </c>
      <c r="E33">
        <f t="shared" si="1"/>
        <v>30119</v>
      </c>
      <c r="F33">
        <f t="shared" si="2"/>
        <v>-159013.87999999989</v>
      </c>
      <c r="G33">
        <f t="shared" si="3"/>
        <v>2.6244000000000005</v>
      </c>
      <c r="H33">
        <f t="shared" si="4"/>
        <v>907154161</v>
      </c>
      <c r="I33">
        <f t="shared" si="5"/>
        <v>25285414032.654366</v>
      </c>
      <c r="J33">
        <f t="shared" si="6"/>
        <v>-257602.48559999984</v>
      </c>
      <c r="K33">
        <f t="shared" si="7"/>
        <v>-4789339051.7199965</v>
      </c>
    </row>
    <row r="34" spans="1:11" x14ac:dyDescent="0.2">
      <c r="A34">
        <v>6</v>
      </c>
      <c r="B34">
        <v>111000</v>
      </c>
      <c r="C34">
        <v>1384995</v>
      </c>
      <c r="D34">
        <f t="shared" si="0"/>
        <v>1.62</v>
      </c>
      <c r="E34">
        <f t="shared" si="1"/>
        <v>10119</v>
      </c>
      <c r="F34">
        <f t="shared" si="2"/>
        <v>-94018.879999999888</v>
      </c>
      <c r="G34">
        <f t="shared" si="3"/>
        <v>2.6244000000000005</v>
      </c>
      <c r="H34">
        <f t="shared" si="4"/>
        <v>102394161</v>
      </c>
      <c r="I34">
        <f t="shared" si="5"/>
        <v>8839549796.4543781</v>
      </c>
      <c r="J34">
        <f t="shared" si="6"/>
        <v>-152310.58559999982</v>
      </c>
      <c r="K34">
        <f t="shared" si="7"/>
        <v>-951377046.71999884</v>
      </c>
    </row>
    <row r="35" spans="1:11" x14ac:dyDescent="0.2">
      <c r="A35">
        <v>3</v>
      </c>
      <c r="B35">
        <v>74500</v>
      </c>
      <c r="C35">
        <v>1650000</v>
      </c>
      <c r="D35">
        <f t="shared" si="0"/>
        <v>-1.38</v>
      </c>
      <c r="E35">
        <f t="shared" si="1"/>
        <v>-26381</v>
      </c>
      <c r="F35">
        <f t="shared" si="2"/>
        <v>170986.12000000011</v>
      </c>
      <c r="G35">
        <f t="shared" si="3"/>
        <v>1.9043999999999996</v>
      </c>
      <c r="H35">
        <f t="shared" si="4"/>
        <v>695957161</v>
      </c>
      <c r="I35">
        <f t="shared" si="5"/>
        <v>29236253232.654438</v>
      </c>
      <c r="J35">
        <f t="shared" si="6"/>
        <v>-235960.84560000015</v>
      </c>
      <c r="K35">
        <f t="shared" si="7"/>
        <v>-4510784831.7200031</v>
      </c>
    </row>
    <row r="36" spans="1:11" x14ac:dyDescent="0.2">
      <c r="A36">
        <v>3</v>
      </c>
      <c r="B36">
        <v>50000</v>
      </c>
      <c r="C36">
        <v>1710000</v>
      </c>
      <c r="D36">
        <f t="shared" si="0"/>
        <v>-1.38</v>
      </c>
      <c r="E36">
        <f t="shared" si="1"/>
        <v>-50881</v>
      </c>
      <c r="F36">
        <f t="shared" si="2"/>
        <v>230986.12000000011</v>
      </c>
      <c r="G36">
        <f t="shared" si="3"/>
        <v>1.9043999999999996</v>
      </c>
      <c r="H36">
        <f t="shared" si="4"/>
        <v>2588876161</v>
      </c>
      <c r="I36">
        <f t="shared" si="5"/>
        <v>53354587632.654449</v>
      </c>
      <c r="J36">
        <f t="shared" si="6"/>
        <v>-318760.84560000012</v>
      </c>
      <c r="K36">
        <f t="shared" si="7"/>
        <v>-11752804771.720005</v>
      </c>
    </row>
    <row r="37" spans="1:11" x14ac:dyDescent="0.2">
      <c r="A37">
        <v>6</v>
      </c>
      <c r="B37">
        <v>126000</v>
      </c>
      <c r="C37">
        <v>1520000</v>
      </c>
      <c r="D37">
        <f t="shared" si="0"/>
        <v>1.62</v>
      </c>
      <c r="E37">
        <f t="shared" si="1"/>
        <v>25119</v>
      </c>
      <c r="F37">
        <f t="shared" si="2"/>
        <v>40986.120000000112</v>
      </c>
      <c r="G37">
        <f t="shared" si="3"/>
        <v>2.6244000000000005</v>
      </c>
      <c r="H37">
        <f t="shared" si="4"/>
        <v>630964161</v>
      </c>
      <c r="I37">
        <f t="shared" si="5"/>
        <v>1679862032.6544092</v>
      </c>
      <c r="J37">
        <f t="shared" si="6"/>
        <v>66397.514400000189</v>
      </c>
      <c r="K37">
        <f t="shared" si="7"/>
        <v>1029530348.2800028</v>
      </c>
    </row>
    <row r="38" spans="1:11" x14ac:dyDescent="0.2">
      <c r="A38">
        <v>6</v>
      </c>
      <c r="B38">
        <v>85000</v>
      </c>
      <c r="C38">
        <v>1390000</v>
      </c>
      <c r="D38">
        <f t="shared" si="0"/>
        <v>1.62</v>
      </c>
      <c r="E38">
        <f t="shared" si="1"/>
        <v>-15881</v>
      </c>
      <c r="F38">
        <f t="shared" si="2"/>
        <v>-89013.879999999888</v>
      </c>
      <c r="G38">
        <f t="shared" si="3"/>
        <v>2.6244000000000005</v>
      </c>
      <c r="H38">
        <f t="shared" si="4"/>
        <v>252206161</v>
      </c>
      <c r="I38">
        <f t="shared" si="5"/>
        <v>7923470832.6543798</v>
      </c>
      <c r="J38">
        <f t="shared" si="6"/>
        <v>-144202.48559999984</v>
      </c>
      <c r="K38">
        <f t="shared" si="7"/>
        <v>1413629428.2799983</v>
      </c>
    </row>
    <row r="39" spans="1:11" x14ac:dyDescent="0.2">
      <c r="A39">
        <v>6</v>
      </c>
      <c r="B39">
        <v>117000</v>
      </c>
      <c r="C39">
        <v>1384950</v>
      </c>
      <c r="D39">
        <f t="shared" si="0"/>
        <v>1.62</v>
      </c>
      <c r="E39">
        <f t="shared" si="1"/>
        <v>16119</v>
      </c>
      <c r="F39">
        <f t="shared" si="2"/>
        <v>-94063.879999999888</v>
      </c>
      <c r="G39">
        <f t="shared" si="3"/>
        <v>2.6244000000000005</v>
      </c>
      <c r="H39">
        <f t="shared" si="4"/>
        <v>259822161</v>
      </c>
      <c r="I39">
        <f t="shared" si="5"/>
        <v>8848013520.6543789</v>
      </c>
      <c r="J39">
        <f t="shared" si="6"/>
        <v>-152383.48559999984</v>
      </c>
      <c r="K39">
        <f t="shared" si="7"/>
        <v>-1516215681.7199981</v>
      </c>
    </row>
    <row r="40" spans="1:11" x14ac:dyDescent="0.2">
      <c r="A40">
        <v>6</v>
      </c>
      <c r="B40">
        <v>144000</v>
      </c>
      <c r="C40">
        <v>1199999</v>
      </c>
      <c r="D40">
        <f t="shared" si="0"/>
        <v>1.62</v>
      </c>
      <c r="E40">
        <f t="shared" si="1"/>
        <v>43119</v>
      </c>
      <c r="F40">
        <f t="shared" si="2"/>
        <v>-279014.87999999989</v>
      </c>
      <c r="G40">
        <f t="shared" si="3"/>
        <v>2.6244000000000005</v>
      </c>
      <c r="H40">
        <f t="shared" si="4"/>
        <v>1859248161</v>
      </c>
      <c r="I40">
        <f t="shared" si="5"/>
        <v>77849303261.414337</v>
      </c>
      <c r="J40">
        <f t="shared" si="6"/>
        <v>-452004.10559999984</v>
      </c>
      <c r="K40">
        <f t="shared" si="7"/>
        <v>-12030842610.719995</v>
      </c>
    </row>
    <row r="41" spans="1:11" x14ac:dyDescent="0.2">
      <c r="A41">
        <v>6</v>
      </c>
      <c r="B41">
        <v>148000</v>
      </c>
      <c r="C41">
        <v>1390000</v>
      </c>
      <c r="D41">
        <f t="shared" si="0"/>
        <v>1.62</v>
      </c>
      <c r="E41">
        <f t="shared" si="1"/>
        <v>47119</v>
      </c>
      <c r="F41">
        <f t="shared" si="2"/>
        <v>-89013.879999999888</v>
      </c>
      <c r="G41">
        <f t="shared" si="3"/>
        <v>2.6244000000000005</v>
      </c>
      <c r="H41">
        <f t="shared" si="4"/>
        <v>2220200161</v>
      </c>
      <c r="I41">
        <f t="shared" si="5"/>
        <v>7923470832.6543798</v>
      </c>
      <c r="J41">
        <f t="shared" si="6"/>
        <v>-144202.48559999984</v>
      </c>
      <c r="K41">
        <f t="shared" si="7"/>
        <v>-4194245011.7199945</v>
      </c>
    </row>
    <row r="42" spans="1:11" x14ac:dyDescent="0.2">
      <c r="A42">
        <v>5</v>
      </c>
      <c r="B42">
        <v>168000</v>
      </c>
      <c r="C42">
        <v>1295000</v>
      </c>
      <c r="D42">
        <f t="shared" si="0"/>
        <v>0.62000000000000011</v>
      </c>
      <c r="E42">
        <f t="shared" si="1"/>
        <v>67119</v>
      </c>
      <c r="F42">
        <f t="shared" si="2"/>
        <v>-184013.87999999989</v>
      </c>
      <c r="G42">
        <f t="shared" si="3"/>
        <v>0.38440000000000013</v>
      </c>
      <c r="H42">
        <f t="shared" si="4"/>
        <v>4504960161</v>
      </c>
      <c r="I42">
        <f t="shared" si="5"/>
        <v>33861108032.654358</v>
      </c>
      <c r="J42">
        <f t="shared" si="6"/>
        <v>-114088.60559999995</v>
      </c>
      <c r="K42">
        <f t="shared" si="7"/>
        <v>-12350827611.719992</v>
      </c>
    </row>
    <row r="43" spans="1:11" x14ac:dyDescent="0.2">
      <c r="A43">
        <v>3</v>
      </c>
      <c r="B43">
        <v>77000</v>
      </c>
      <c r="C43">
        <v>1650000</v>
      </c>
      <c r="D43">
        <f t="shared" si="0"/>
        <v>-1.38</v>
      </c>
      <c r="E43">
        <f t="shared" si="1"/>
        <v>-23881</v>
      </c>
      <c r="F43">
        <f t="shared" si="2"/>
        <v>170986.12000000011</v>
      </c>
      <c r="G43">
        <f t="shared" si="3"/>
        <v>1.9043999999999996</v>
      </c>
      <c r="H43">
        <f t="shared" si="4"/>
        <v>570302161</v>
      </c>
      <c r="I43">
        <f t="shared" si="5"/>
        <v>29236253232.654438</v>
      </c>
      <c r="J43">
        <f t="shared" si="6"/>
        <v>-235960.84560000015</v>
      </c>
      <c r="K43">
        <f t="shared" si="7"/>
        <v>-4083319531.7200027</v>
      </c>
    </row>
    <row r="44" spans="1:11" x14ac:dyDescent="0.2">
      <c r="A44">
        <v>3</v>
      </c>
      <c r="B44">
        <v>69000</v>
      </c>
      <c r="C44">
        <v>1725000</v>
      </c>
      <c r="D44">
        <f t="shared" si="0"/>
        <v>-1.38</v>
      </c>
      <c r="E44">
        <f t="shared" si="1"/>
        <v>-31881</v>
      </c>
      <c r="F44">
        <f t="shared" si="2"/>
        <v>245986.12000000011</v>
      </c>
      <c r="G44">
        <f t="shared" si="3"/>
        <v>1.9043999999999996</v>
      </c>
      <c r="H44">
        <f t="shared" si="4"/>
        <v>1016398161</v>
      </c>
      <c r="I44">
        <f t="shared" si="5"/>
        <v>60509171232.654457</v>
      </c>
      <c r="J44">
        <f t="shared" si="6"/>
        <v>-339460.84560000012</v>
      </c>
      <c r="K44">
        <f t="shared" si="7"/>
        <v>-7842283491.7200031</v>
      </c>
    </row>
    <row r="45" spans="1:11" x14ac:dyDescent="0.2">
      <c r="A45">
        <v>3</v>
      </c>
      <c r="B45">
        <v>54000</v>
      </c>
      <c r="C45">
        <v>1650000</v>
      </c>
      <c r="D45">
        <f t="shared" si="0"/>
        <v>-1.38</v>
      </c>
      <c r="E45">
        <f t="shared" si="1"/>
        <v>-46881</v>
      </c>
      <c r="F45">
        <f t="shared" si="2"/>
        <v>170986.12000000011</v>
      </c>
      <c r="G45">
        <f t="shared" si="3"/>
        <v>1.9043999999999996</v>
      </c>
      <c r="H45">
        <f t="shared" si="4"/>
        <v>2197828161</v>
      </c>
      <c r="I45">
        <f t="shared" si="5"/>
        <v>29236253232.654438</v>
      </c>
      <c r="J45">
        <f t="shared" si="6"/>
        <v>-235960.84560000015</v>
      </c>
      <c r="K45">
        <f t="shared" si="7"/>
        <v>-8016000291.720005</v>
      </c>
    </row>
    <row r="46" spans="1:11" x14ac:dyDescent="0.2">
      <c r="A46">
        <v>3</v>
      </c>
      <c r="B46">
        <v>48464</v>
      </c>
      <c r="C46">
        <v>1555000</v>
      </c>
      <c r="D46">
        <f t="shared" si="0"/>
        <v>-1.38</v>
      </c>
      <c r="E46">
        <f t="shared" si="1"/>
        <v>-52417</v>
      </c>
      <c r="F46">
        <f t="shared" si="2"/>
        <v>75986.120000000112</v>
      </c>
      <c r="G46">
        <f t="shared" si="3"/>
        <v>1.9043999999999996</v>
      </c>
      <c r="H46">
        <f t="shared" si="4"/>
        <v>2747541889</v>
      </c>
      <c r="I46">
        <f t="shared" si="5"/>
        <v>5773890432.654417</v>
      </c>
      <c r="J46">
        <f t="shared" si="6"/>
        <v>-104860.84560000015</v>
      </c>
      <c r="K46">
        <f t="shared" si="7"/>
        <v>-3982964452.0400057</v>
      </c>
    </row>
    <row r="47" spans="1:11" x14ac:dyDescent="0.2">
      <c r="A47">
        <v>3</v>
      </c>
      <c r="B47">
        <v>94000</v>
      </c>
      <c r="C47">
        <v>1435000</v>
      </c>
      <c r="D47">
        <f t="shared" si="0"/>
        <v>-1.38</v>
      </c>
      <c r="E47">
        <f t="shared" si="1"/>
        <v>-6881</v>
      </c>
      <c r="F47">
        <f t="shared" si="2"/>
        <v>-44013.879999999888</v>
      </c>
      <c r="G47">
        <f t="shared" si="3"/>
        <v>1.9043999999999996</v>
      </c>
      <c r="H47">
        <f t="shared" si="4"/>
        <v>47348161</v>
      </c>
      <c r="I47">
        <f t="shared" si="5"/>
        <v>1937221632.6543901</v>
      </c>
      <c r="J47">
        <f t="shared" si="6"/>
        <v>60739.154399999839</v>
      </c>
      <c r="K47">
        <f t="shared" si="7"/>
        <v>302859508.27999926</v>
      </c>
    </row>
    <row r="48" spans="1:11" x14ac:dyDescent="0.2">
      <c r="A48">
        <v>3</v>
      </c>
      <c r="B48">
        <v>110842</v>
      </c>
      <c r="C48">
        <v>1695000</v>
      </c>
      <c r="D48">
        <f t="shared" si="0"/>
        <v>-1.38</v>
      </c>
      <c r="E48">
        <f t="shared" si="1"/>
        <v>9961</v>
      </c>
      <c r="F48">
        <f t="shared" si="2"/>
        <v>215986.12000000011</v>
      </c>
      <c r="G48">
        <f t="shared" si="3"/>
        <v>1.9043999999999996</v>
      </c>
      <c r="H48">
        <f t="shared" si="4"/>
        <v>99221521</v>
      </c>
      <c r="I48">
        <f t="shared" si="5"/>
        <v>46650004032.654449</v>
      </c>
      <c r="J48">
        <f t="shared" si="6"/>
        <v>-298060.84560000012</v>
      </c>
      <c r="K48">
        <f t="shared" si="7"/>
        <v>2151437741.3200011</v>
      </c>
    </row>
    <row r="49" spans="1:11" x14ac:dyDescent="0.2">
      <c r="A49">
        <v>5</v>
      </c>
      <c r="B49">
        <v>60000</v>
      </c>
      <c r="C49">
        <v>1359900</v>
      </c>
      <c r="D49">
        <f t="shared" si="0"/>
        <v>0.62000000000000011</v>
      </c>
      <c r="E49">
        <f t="shared" si="1"/>
        <v>-40881</v>
      </c>
      <c r="F49">
        <f t="shared" si="2"/>
        <v>-119113.87999999989</v>
      </c>
      <c r="G49">
        <f t="shared" si="3"/>
        <v>0.38440000000000013</v>
      </c>
      <c r="H49">
        <f t="shared" si="4"/>
        <v>1671256161</v>
      </c>
      <c r="I49">
        <f t="shared" si="5"/>
        <v>14188116408.654373</v>
      </c>
      <c r="J49">
        <f t="shared" si="6"/>
        <v>-73850.605599999937</v>
      </c>
      <c r="K49">
        <f t="shared" si="7"/>
        <v>4869494528.279995</v>
      </c>
    </row>
    <row r="50" spans="1:11" x14ac:dyDescent="0.2">
      <c r="A50">
        <v>3</v>
      </c>
      <c r="B50">
        <v>73000</v>
      </c>
      <c r="C50">
        <v>1550000</v>
      </c>
      <c r="D50">
        <f t="shared" si="0"/>
        <v>-1.38</v>
      </c>
      <c r="E50">
        <f t="shared" si="1"/>
        <v>-27881</v>
      </c>
      <c r="F50">
        <f t="shared" si="2"/>
        <v>70986.120000000112</v>
      </c>
      <c r="G50">
        <f t="shared" si="3"/>
        <v>1.9043999999999996</v>
      </c>
      <c r="H50">
        <f t="shared" si="4"/>
        <v>777350161</v>
      </c>
      <c r="I50">
        <f t="shared" si="5"/>
        <v>5039029232.6544161</v>
      </c>
      <c r="J50">
        <f t="shared" si="6"/>
        <v>-97960.845600000146</v>
      </c>
      <c r="K50">
        <f t="shared" si="7"/>
        <v>-1979164011.7200031</v>
      </c>
    </row>
    <row r="51" spans="1:11" x14ac:dyDescent="0.2">
      <c r="A51">
        <f>SUM(A1:A50)/50</f>
        <v>4.38</v>
      </c>
      <c r="B51">
        <f>SUM(B1:B50)/50</f>
        <v>100881</v>
      </c>
      <c r="C51">
        <f>SUM(C1:C50)/50</f>
        <v>1479013.88</v>
      </c>
      <c r="G51">
        <f>SUM(G1:G50)</f>
        <v>99.779999999999959</v>
      </c>
      <c r="H51">
        <f>SUM(H1:H50)</f>
        <v>111714268624</v>
      </c>
      <c r="I51">
        <f>SUM(I1:I50)</f>
        <v>1812978788393.2793</v>
      </c>
      <c r="J51">
        <f>SUM(J1:J50)</f>
        <v>-10565525.720000001</v>
      </c>
      <c r="K51">
        <f>SUM(K1:K50)</f>
        <v>-372277977164</v>
      </c>
    </row>
    <row r="52" spans="1:11" x14ac:dyDescent="0.2">
      <c r="A52" t="s">
        <v>1</v>
      </c>
      <c r="B52" t="s">
        <v>2</v>
      </c>
      <c r="C52" t="s">
        <v>3</v>
      </c>
      <c r="D52" t="s">
        <v>0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21</v>
      </c>
      <c r="K52" t="s">
        <v>22</v>
      </c>
    </row>
    <row r="58" spans="1:11" x14ac:dyDescent="0.2">
      <c r="F58" t="s">
        <v>9</v>
      </c>
      <c r="G58" t="s">
        <v>10</v>
      </c>
      <c r="H58" t="s">
        <v>11</v>
      </c>
      <c r="I58" t="s">
        <v>12</v>
      </c>
    </row>
    <row r="59" spans="1:11" x14ac:dyDescent="0.2">
      <c r="G59">
        <f>G51/49</f>
        <v>2.0363265306122442</v>
      </c>
      <c r="H59">
        <f>H51/49</f>
        <v>2279883033.1428571</v>
      </c>
      <c r="I59">
        <f>I51/49</f>
        <v>36999567110.066925</v>
      </c>
    </row>
    <row r="60" spans="1:11" x14ac:dyDescent="0.2">
      <c r="F60" t="s">
        <v>13</v>
      </c>
      <c r="G60" t="s">
        <v>14</v>
      </c>
      <c r="H60" t="s">
        <v>15</v>
      </c>
      <c r="I60" t="s">
        <v>16</v>
      </c>
    </row>
    <row r="61" spans="1:11" x14ac:dyDescent="0.2">
      <c r="G61">
        <f>SQRT(G59)</f>
        <v>1.4269991347622619</v>
      </c>
      <c r="H61">
        <f>SQRT(H59)</f>
        <v>47748.120728913062</v>
      </c>
      <c r="I61">
        <f>SQRT(I59)</f>
        <v>192352.71536962228</v>
      </c>
    </row>
    <row r="62" spans="1:11" x14ac:dyDescent="0.2">
      <c r="F62" t="s">
        <v>17</v>
      </c>
      <c r="G62" t="s">
        <v>18</v>
      </c>
      <c r="H62" t="s">
        <v>19</v>
      </c>
      <c r="I62" t="s">
        <v>20</v>
      </c>
    </row>
    <row r="63" spans="1:11" x14ac:dyDescent="0.2">
      <c r="G63">
        <f>G61/A51</f>
        <v>0.32579888921512828</v>
      </c>
      <c r="H63">
        <f>H61/B51</f>
        <v>0.47331133443277784</v>
      </c>
      <c r="I63">
        <f>I61/C51</f>
        <v>0.13005470602454541</v>
      </c>
    </row>
    <row r="64" spans="1:11" x14ac:dyDescent="0.2">
      <c r="F64" t="s">
        <v>23</v>
      </c>
      <c r="G64" t="s">
        <v>24</v>
      </c>
      <c r="H64" t="s">
        <v>25</v>
      </c>
    </row>
    <row r="65" spans="6:8" x14ac:dyDescent="0.2">
      <c r="G65">
        <f>J51/49</f>
        <v>-215622.97387755103</v>
      </c>
      <c r="H65">
        <f>K51/49</f>
        <v>-7597509738.0408163</v>
      </c>
    </row>
    <row r="66" spans="6:8" x14ac:dyDescent="0.2">
      <c r="F66" t="s">
        <v>26</v>
      </c>
      <c r="G66" t="s">
        <v>27</v>
      </c>
      <c r="H66" t="s">
        <v>28</v>
      </c>
    </row>
    <row r="67" spans="6:8" x14ac:dyDescent="0.2">
      <c r="G67">
        <f>G65/(G61*I61)</f>
        <v>-0.78554849390096781</v>
      </c>
      <c r="H67">
        <f>H65/(H61*I61)</f>
        <v>-0.82721168523893085</v>
      </c>
    </row>
    <row r="69" spans="6:8" x14ac:dyDescent="0.2">
      <c r="F69" t="s">
        <v>29</v>
      </c>
      <c r="G69">
        <f>C51-(G70*A51)</f>
        <v>1942804.2453397475</v>
      </c>
    </row>
    <row r="70" spans="6:8" x14ac:dyDescent="0.2">
      <c r="F70" t="s">
        <v>30</v>
      </c>
      <c r="G70">
        <f>G67*I61/G61</f>
        <v>-105888.21126478257</v>
      </c>
    </row>
    <row r="71" spans="6:8" x14ac:dyDescent="0.2">
      <c r="F71" t="s">
        <v>31</v>
      </c>
      <c r="G71">
        <f>C51-(G72*B51)</f>
        <v>1815190.9420428448</v>
      </c>
    </row>
    <row r="72" spans="6:8" x14ac:dyDescent="0.2">
      <c r="F72" t="s">
        <v>32</v>
      </c>
      <c r="G72">
        <f>H67*I61/H61</f>
        <v>-3.332412070090947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1E75-B605-0047-B48F-5C5C021BBD31}">
  <dimension ref="A1:B50"/>
  <sheetViews>
    <sheetView topLeftCell="G10" zoomScale="200" workbookViewId="0">
      <selection activeCell="B1" activeCellId="1" sqref="A1:A1048576 B1:B1048576"/>
    </sheetView>
  </sheetViews>
  <sheetFormatPr baseColWidth="10" defaultRowHeight="16" x14ac:dyDescent="0.2"/>
  <sheetData>
    <row r="1" spans="1:2" x14ac:dyDescent="0.2">
      <c r="A1">
        <v>6</v>
      </c>
      <c r="B1">
        <v>1375000</v>
      </c>
    </row>
    <row r="2" spans="1:2" x14ac:dyDescent="0.2">
      <c r="A2">
        <v>3</v>
      </c>
      <c r="B2">
        <v>1620000</v>
      </c>
    </row>
    <row r="3" spans="1:2" x14ac:dyDescent="0.2">
      <c r="A3">
        <v>3</v>
      </c>
      <c r="B3">
        <v>1760000</v>
      </c>
    </row>
    <row r="4" spans="1:2" x14ac:dyDescent="0.2">
      <c r="A4">
        <v>6</v>
      </c>
      <c r="B4">
        <v>1119750</v>
      </c>
    </row>
    <row r="5" spans="1:2" x14ac:dyDescent="0.2">
      <c r="A5">
        <v>6</v>
      </c>
      <c r="B5">
        <v>1129900</v>
      </c>
    </row>
    <row r="6" spans="1:2" x14ac:dyDescent="0.2">
      <c r="A6">
        <v>5</v>
      </c>
      <c r="B6">
        <v>1335000</v>
      </c>
    </row>
    <row r="7" spans="1:2" x14ac:dyDescent="0.2">
      <c r="A7">
        <v>6</v>
      </c>
      <c r="B7">
        <v>1185000</v>
      </c>
    </row>
    <row r="8" spans="1:2" x14ac:dyDescent="0.2">
      <c r="A8">
        <v>3</v>
      </c>
      <c r="B8">
        <v>1695000</v>
      </c>
    </row>
    <row r="9" spans="1:2" x14ac:dyDescent="0.2">
      <c r="A9">
        <v>3</v>
      </c>
      <c r="B9">
        <v>1469000</v>
      </c>
    </row>
    <row r="10" spans="1:2" x14ac:dyDescent="0.2">
      <c r="A10">
        <v>5</v>
      </c>
      <c r="B10">
        <v>1285000</v>
      </c>
    </row>
    <row r="11" spans="1:2" x14ac:dyDescent="0.2">
      <c r="A11">
        <v>3</v>
      </c>
      <c r="B11">
        <v>1425000</v>
      </c>
    </row>
    <row r="12" spans="1:2" x14ac:dyDescent="0.2">
      <c r="A12">
        <v>5</v>
      </c>
      <c r="B12">
        <v>1360000</v>
      </c>
    </row>
    <row r="13" spans="1:2" x14ac:dyDescent="0.2">
      <c r="A13">
        <v>6</v>
      </c>
      <c r="B13">
        <v>1450000</v>
      </c>
    </row>
    <row r="14" spans="1:2" x14ac:dyDescent="0.2">
      <c r="A14">
        <v>3</v>
      </c>
      <c r="B14">
        <v>1460000</v>
      </c>
    </row>
    <row r="15" spans="1:2" x14ac:dyDescent="0.2">
      <c r="A15">
        <v>6</v>
      </c>
      <c r="B15">
        <v>1600000</v>
      </c>
    </row>
    <row r="16" spans="1:2" x14ac:dyDescent="0.2">
      <c r="A16">
        <v>5</v>
      </c>
      <c r="B16">
        <v>1189000</v>
      </c>
    </row>
    <row r="17" spans="1:2" x14ac:dyDescent="0.2">
      <c r="A17">
        <v>6</v>
      </c>
      <c r="B17">
        <v>1189950</v>
      </c>
    </row>
    <row r="18" spans="1:2" x14ac:dyDescent="0.2">
      <c r="A18">
        <v>3</v>
      </c>
      <c r="B18">
        <v>1635000</v>
      </c>
    </row>
    <row r="19" spans="1:2" x14ac:dyDescent="0.2">
      <c r="A19">
        <v>6</v>
      </c>
      <c r="B19">
        <v>1295000</v>
      </c>
    </row>
    <row r="20" spans="1:2" x14ac:dyDescent="0.2">
      <c r="A20">
        <v>3</v>
      </c>
      <c r="B20">
        <v>1660000</v>
      </c>
    </row>
    <row r="21" spans="1:2" x14ac:dyDescent="0.2">
      <c r="A21">
        <v>3</v>
      </c>
      <c r="B21">
        <v>1760000</v>
      </c>
    </row>
    <row r="22" spans="1:2" x14ac:dyDescent="0.2">
      <c r="A22">
        <v>3</v>
      </c>
      <c r="B22">
        <v>1799000</v>
      </c>
    </row>
    <row r="23" spans="1:2" x14ac:dyDescent="0.2">
      <c r="A23">
        <v>6</v>
      </c>
      <c r="B23">
        <v>1355000</v>
      </c>
    </row>
    <row r="24" spans="1:2" x14ac:dyDescent="0.2">
      <c r="A24">
        <v>3</v>
      </c>
      <c r="B24">
        <v>1710000</v>
      </c>
    </row>
    <row r="25" spans="1:2" x14ac:dyDescent="0.2">
      <c r="A25">
        <v>3</v>
      </c>
      <c r="B25">
        <v>1695000</v>
      </c>
    </row>
    <row r="26" spans="1:2" x14ac:dyDescent="0.2">
      <c r="A26">
        <v>6</v>
      </c>
      <c r="B26">
        <v>1475000</v>
      </c>
    </row>
    <row r="27" spans="1:2" x14ac:dyDescent="0.2">
      <c r="A27">
        <v>6</v>
      </c>
      <c r="B27">
        <v>1320000</v>
      </c>
    </row>
    <row r="28" spans="1:2" x14ac:dyDescent="0.2">
      <c r="A28">
        <v>3</v>
      </c>
      <c r="B28">
        <v>1609750</v>
      </c>
    </row>
    <row r="29" spans="1:2" x14ac:dyDescent="0.2">
      <c r="A29">
        <v>3</v>
      </c>
      <c r="B29">
        <v>1689500</v>
      </c>
    </row>
    <row r="30" spans="1:2" x14ac:dyDescent="0.2">
      <c r="A30">
        <v>3</v>
      </c>
      <c r="B30">
        <v>1525000</v>
      </c>
    </row>
    <row r="31" spans="1:2" x14ac:dyDescent="0.2">
      <c r="A31">
        <v>6</v>
      </c>
      <c r="B31">
        <v>1195000</v>
      </c>
    </row>
    <row r="32" spans="1:2" x14ac:dyDescent="0.2">
      <c r="A32">
        <v>3</v>
      </c>
      <c r="B32">
        <v>1715000</v>
      </c>
    </row>
    <row r="33" spans="1:2" x14ac:dyDescent="0.2">
      <c r="A33">
        <v>6</v>
      </c>
      <c r="B33">
        <v>1320000</v>
      </c>
    </row>
    <row r="34" spans="1:2" x14ac:dyDescent="0.2">
      <c r="A34">
        <v>6</v>
      </c>
      <c r="B34">
        <v>1384995</v>
      </c>
    </row>
    <row r="35" spans="1:2" x14ac:dyDescent="0.2">
      <c r="A35">
        <v>3</v>
      </c>
      <c r="B35">
        <v>1650000</v>
      </c>
    </row>
    <row r="36" spans="1:2" x14ac:dyDescent="0.2">
      <c r="A36">
        <v>3</v>
      </c>
      <c r="B36">
        <v>1710000</v>
      </c>
    </row>
    <row r="37" spans="1:2" x14ac:dyDescent="0.2">
      <c r="A37">
        <v>6</v>
      </c>
      <c r="B37">
        <v>1520000</v>
      </c>
    </row>
    <row r="38" spans="1:2" x14ac:dyDescent="0.2">
      <c r="A38">
        <v>6</v>
      </c>
      <c r="B38">
        <v>1390000</v>
      </c>
    </row>
    <row r="39" spans="1:2" x14ac:dyDescent="0.2">
      <c r="A39">
        <v>6</v>
      </c>
      <c r="B39">
        <v>1384950</v>
      </c>
    </row>
    <row r="40" spans="1:2" x14ac:dyDescent="0.2">
      <c r="A40">
        <v>6</v>
      </c>
      <c r="B40">
        <v>1199999</v>
      </c>
    </row>
    <row r="41" spans="1:2" x14ac:dyDescent="0.2">
      <c r="A41">
        <v>6</v>
      </c>
      <c r="B41">
        <v>1390000</v>
      </c>
    </row>
    <row r="42" spans="1:2" x14ac:dyDescent="0.2">
      <c r="A42">
        <v>5</v>
      </c>
      <c r="B42">
        <v>1295000</v>
      </c>
    </row>
    <row r="43" spans="1:2" x14ac:dyDescent="0.2">
      <c r="A43">
        <v>3</v>
      </c>
      <c r="B43">
        <v>1650000</v>
      </c>
    </row>
    <row r="44" spans="1:2" x14ac:dyDescent="0.2">
      <c r="A44">
        <v>3</v>
      </c>
      <c r="B44">
        <v>1725000</v>
      </c>
    </row>
    <row r="45" spans="1:2" x14ac:dyDescent="0.2">
      <c r="A45">
        <v>3</v>
      </c>
      <c r="B45">
        <v>1650000</v>
      </c>
    </row>
    <row r="46" spans="1:2" x14ac:dyDescent="0.2">
      <c r="A46">
        <v>3</v>
      </c>
      <c r="B46">
        <v>1555000</v>
      </c>
    </row>
    <row r="47" spans="1:2" x14ac:dyDescent="0.2">
      <c r="A47">
        <v>3</v>
      </c>
      <c r="B47">
        <v>1435000</v>
      </c>
    </row>
    <row r="48" spans="1:2" x14ac:dyDescent="0.2">
      <c r="A48">
        <v>3</v>
      </c>
      <c r="B48">
        <v>1695000</v>
      </c>
    </row>
    <row r="49" spans="1:2" x14ac:dyDescent="0.2">
      <c r="A49">
        <v>5</v>
      </c>
      <c r="B49">
        <v>1359900</v>
      </c>
    </row>
    <row r="50" spans="1:2" x14ac:dyDescent="0.2">
      <c r="A50">
        <v>3</v>
      </c>
      <c r="B50">
        <v>1550000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sahibinden_focus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CANBULA</dc:creator>
  <cp:lastModifiedBy>Bora CANBULA</cp:lastModifiedBy>
  <dcterms:created xsi:type="dcterms:W3CDTF">2026-04-17T14:42:27Z</dcterms:created>
  <dcterms:modified xsi:type="dcterms:W3CDTF">2026-04-24T14:50:44Z</dcterms:modified>
</cp:coreProperties>
</file>