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bba/Downloads/"/>
    </mc:Choice>
  </mc:AlternateContent>
  <xr:revisionPtr revIDLastSave="0" documentId="13_ncr:1_{216D13BA-C39B-5A4C-A23B-79B71878D40D}" xr6:coauthVersionLast="47" xr6:coauthVersionMax="47" xr10:uidLastSave="{00000000-0000-0000-0000-000000000000}"/>
  <bookViews>
    <workbookView xWindow="0" yWindow="600" windowWidth="28800" windowHeight="17400" xr2:uid="{EE9A275E-807D-EF4F-9D35-3E9CE8D55DDA}"/>
  </bookViews>
  <sheets>
    <sheet name="sahibinden" sheetId="1" r:id="rId1"/>
    <sheet name="Sheet2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1" l="1"/>
  <c r="G68" i="1"/>
  <c r="C51" i="1"/>
  <c r="B51" i="1"/>
  <c r="A51" i="1"/>
  <c r="F4" i="1" l="1"/>
  <c r="I4" i="1" s="1"/>
  <c r="F28" i="1"/>
  <c r="I28" i="1" s="1"/>
  <c r="F30" i="1"/>
  <c r="I30" i="1" s="1"/>
  <c r="F1" i="1"/>
  <c r="I1" i="1" s="1"/>
  <c r="F50" i="1"/>
  <c r="I50" i="1" s="1"/>
  <c r="F49" i="1"/>
  <c r="I49" i="1" s="1"/>
  <c r="F48" i="1"/>
  <c r="I48" i="1" s="1"/>
  <c r="F47" i="1"/>
  <c r="I47" i="1" s="1"/>
  <c r="F46" i="1"/>
  <c r="I46" i="1" s="1"/>
  <c r="F45" i="1"/>
  <c r="I45" i="1" s="1"/>
  <c r="F44" i="1"/>
  <c r="I44" i="1" s="1"/>
  <c r="F43" i="1"/>
  <c r="I43" i="1" s="1"/>
  <c r="F42" i="1"/>
  <c r="I42" i="1" s="1"/>
  <c r="F41" i="1"/>
  <c r="I41" i="1" s="1"/>
  <c r="F40" i="1"/>
  <c r="I40" i="1" s="1"/>
  <c r="F39" i="1"/>
  <c r="I39" i="1" s="1"/>
  <c r="F38" i="1"/>
  <c r="I38" i="1" s="1"/>
  <c r="F37" i="1"/>
  <c r="I37" i="1" s="1"/>
  <c r="F36" i="1"/>
  <c r="I36" i="1" s="1"/>
  <c r="F35" i="1"/>
  <c r="I35" i="1" s="1"/>
  <c r="F34" i="1"/>
  <c r="I34" i="1" s="1"/>
  <c r="F33" i="1"/>
  <c r="I33" i="1" s="1"/>
  <c r="F32" i="1"/>
  <c r="I32" i="1" s="1"/>
  <c r="F31" i="1"/>
  <c r="I31" i="1" s="1"/>
  <c r="F29" i="1"/>
  <c r="I29" i="1" s="1"/>
  <c r="F27" i="1"/>
  <c r="I27" i="1" s="1"/>
  <c r="F26" i="1"/>
  <c r="I26" i="1" s="1"/>
  <c r="F25" i="1"/>
  <c r="I25" i="1" s="1"/>
  <c r="F24" i="1"/>
  <c r="I24" i="1" s="1"/>
  <c r="F23" i="1"/>
  <c r="I23" i="1" s="1"/>
  <c r="F22" i="1"/>
  <c r="I22" i="1" s="1"/>
  <c r="F21" i="1"/>
  <c r="I21" i="1" s="1"/>
  <c r="F20" i="1"/>
  <c r="I20" i="1" s="1"/>
  <c r="F19" i="1"/>
  <c r="I19" i="1" s="1"/>
  <c r="F18" i="1"/>
  <c r="I18" i="1" s="1"/>
  <c r="F17" i="1"/>
  <c r="I17" i="1" s="1"/>
  <c r="F16" i="1"/>
  <c r="I16" i="1" s="1"/>
  <c r="F15" i="1"/>
  <c r="I15" i="1" s="1"/>
  <c r="F14" i="1"/>
  <c r="I14" i="1" s="1"/>
  <c r="F13" i="1"/>
  <c r="I13" i="1" s="1"/>
  <c r="F12" i="1"/>
  <c r="I12" i="1" s="1"/>
  <c r="F11" i="1"/>
  <c r="I11" i="1" s="1"/>
  <c r="F10" i="1"/>
  <c r="I10" i="1" s="1"/>
  <c r="F9" i="1"/>
  <c r="I9" i="1" s="1"/>
  <c r="F8" i="1"/>
  <c r="I8" i="1" s="1"/>
  <c r="F7" i="1"/>
  <c r="I7" i="1" s="1"/>
  <c r="F6" i="1"/>
  <c r="I6" i="1" s="1"/>
  <c r="F5" i="1"/>
  <c r="I5" i="1" s="1"/>
  <c r="F2" i="1"/>
  <c r="I2" i="1" s="1"/>
  <c r="F3" i="1"/>
  <c r="I3" i="1" s="1"/>
  <c r="K2" i="1"/>
  <c r="K3" i="1"/>
  <c r="K1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E28" i="1"/>
  <c r="H28" i="1" s="1"/>
  <c r="K29" i="1"/>
  <c r="E30" i="1"/>
  <c r="H30" i="1" s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E2" i="1"/>
  <c r="H2" i="1" s="1"/>
  <c r="E3" i="1"/>
  <c r="H3" i="1" s="1"/>
  <c r="E4" i="1"/>
  <c r="H4" i="1" s="1"/>
  <c r="E5" i="1"/>
  <c r="H5" i="1" s="1"/>
  <c r="E6" i="1"/>
  <c r="H6" i="1" s="1"/>
  <c r="E7" i="1"/>
  <c r="H7" i="1" s="1"/>
  <c r="E8" i="1"/>
  <c r="H8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H24" i="1" s="1"/>
  <c r="E25" i="1"/>
  <c r="H25" i="1" s="1"/>
  <c r="E26" i="1"/>
  <c r="H26" i="1" s="1"/>
  <c r="E27" i="1"/>
  <c r="H27" i="1" s="1"/>
  <c r="K6" i="1"/>
  <c r="E29" i="1"/>
  <c r="H29" i="1" s="1"/>
  <c r="K5" i="1"/>
  <c r="E31" i="1"/>
  <c r="H31" i="1" s="1"/>
  <c r="E32" i="1"/>
  <c r="H32" i="1" s="1"/>
  <c r="E33" i="1"/>
  <c r="H33" i="1" s="1"/>
  <c r="E34" i="1"/>
  <c r="H34" i="1" s="1"/>
  <c r="E35" i="1"/>
  <c r="H35" i="1" s="1"/>
  <c r="E36" i="1"/>
  <c r="H36" i="1" s="1"/>
  <c r="E37" i="1"/>
  <c r="H37" i="1" s="1"/>
  <c r="E38" i="1"/>
  <c r="H38" i="1" s="1"/>
  <c r="E39" i="1"/>
  <c r="H39" i="1" s="1"/>
  <c r="E40" i="1"/>
  <c r="H40" i="1" s="1"/>
  <c r="E41" i="1"/>
  <c r="H41" i="1" s="1"/>
  <c r="E42" i="1"/>
  <c r="H42" i="1" s="1"/>
  <c r="E43" i="1"/>
  <c r="H43" i="1" s="1"/>
  <c r="E44" i="1"/>
  <c r="H44" i="1" s="1"/>
  <c r="E45" i="1"/>
  <c r="H45" i="1" s="1"/>
  <c r="E46" i="1"/>
  <c r="H46" i="1" s="1"/>
  <c r="E47" i="1"/>
  <c r="H47" i="1" s="1"/>
  <c r="E48" i="1"/>
  <c r="H48" i="1" s="1"/>
  <c r="E49" i="1"/>
  <c r="H49" i="1" s="1"/>
  <c r="E50" i="1"/>
  <c r="H50" i="1" s="1"/>
  <c r="E1" i="1"/>
  <c r="H1" i="1" s="1"/>
  <c r="K4" i="1"/>
  <c r="K7" i="1"/>
  <c r="J5" i="1"/>
  <c r="J4" i="1"/>
  <c r="D6" i="1"/>
  <c r="G6" i="1" s="1"/>
  <c r="D7" i="1"/>
  <c r="G7" i="1" s="1"/>
  <c r="D8" i="1"/>
  <c r="G8" i="1" s="1"/>
  <c r="D9" i="1"/>
  <c r="G9" i="1" s="1"/>
  <c r="D10" i="1"/>
  <c r="G10" i="1" s="1"/>
  <c r="D11" i="1"/>
  <c r="G11" i="1" s="1"/>
  <c r="D12" i="1"/>
  <c r="G12" i="1" s="1"/>
  <c r="D13" i="1"/>
  <c r="G13" i="1" s="1"/>
  <c r="D14" i="1"/>
  <c r="G14" i="1" s="1"/>
  <c r="D15" i="1"/>
  <c r="G15" i="1" s="1"/>
  <c r="D16" i="1"/>
  <c r="G16" i="1" s="1"/>
  <c r="D17" i="1"/>
  <c r="G17" i="1" s="1"/>
  <c r="D18" i="1"/>
  <c r="G18" i="1" s="1"/>
  <c r="D19" i="1"/>
  <c r="G19" i="1" s="1"/>
  <c r="D20" i="1"/>
  <c r="G20" i="1" s="1"/>
  <c r="D21" i="1"/>
  <c r="G21" i="1" s="1"/>
  <c r="D22" i="1"/>
  <c r="G22" i="1" s="1"/>
  <c r="D23" i="1"/>
  <c r="G23" i="1" s="1"/>
  <c r="D24" i="1"/>
  <c r="G24" i="1" s="1"/>
  <c r="D25" i="1"/>
  <c r="G25" i="1" s="1"/>
  <c r="D26" i="1"/>
  <c r="G26" i="1" s="1"/>
  <c r="D27" i="1"/>
  <c r="G27" i="1" s="1"/>
  <c r="D28" i="1"/>
  <c r="G28" i="1" s="1"/>
  <c r="D29" i="1"/>
  <c r="G29" i="1" s="1"/>
  <c r="D30" i="1"/>
  <c r="G30" i="1" s="1"/>
  <c r="D31" i="1"/>
  <c r="G31" i="1" s="1"/>
  <c r="D32" i="1"/>
  <c r="G32" i="1" s="1"/>
  <c r="D33" i="1"/>
  <c r="G33" i="1" s="1"/>
  <c r="D34" i="1"/>
  <c r="G34" i="1" s="1"/>
  <c r="D35" i="1"/>
  <c r="G35" i="1" s="1"/>
  <c r="D36" i="1"/>
  <c r="G36" i="1" s="1"/>
  <c r="D37" i="1"/>
  <c r="G37" i="1" s="1"/>
  <c r="D38" i="1"/>
  <c r="G38" i="1" s="1"/>
  <c r="D39" i="1"/>
  <c r="G39" i="1" s="1"/>
  <c r="D40" i="1"/>
  <c r="G40" i="1" s="1"/>
  <c r="D41" i="1"/>
  <c r="G41" i="1" s="1"/>
  <c r="D42" i="1"/>
  <c r="G42" i="1" s="1"/>
  <c r="D43" i="1"/>
  <c r="G43" i="1" s="1"/>
  <c r="D44" i="1"/>
  <c r="G44" i="1" s="1"/>
  <c r="D45" i="1"/>
  <c r="G45" i="1" s="1"/>
  <c r="D46" i="1"/>
  <c r="G46" i="1" s="1"/>
  <c r="D47" i="1"/>
  <c r="G47" i="1" s="1"/>
  <c r="D48" i="1"/>
  <c r="G48" i="1" s="1"/>
  <c r="D49" i="1"/>
  <c r="G49" i="1" s="1"/>
  <c r="D50" i="1"/>
  <c r="G50" i="1" s="1"/>
  <c r="D1" i="1"/>
  <c r="G1" i="1" s="1"/>
  <c r="D4" i="1"/>
  <c r="G4" i="1" s="1"/>
  <c r="D3" i="1"/>
  <c r="G3" i="1" s="1"/>
  <c r="D2" i="1"/>
  <c r="G2" i="1" s="1"/>
  <c r="J7" i="1"/>
  <c r="J6" i="1"/>
  <c r="J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2" i="1"/>
  <c r="J3" i="1"/>
  <c r="D5" i="1"/>
  <c r="G5" i="1" s="1"/>
  <c r="H61" i="1" l="1"/>
  <c r="H55" i="1"/>
  <c r="H57" i="1" s="1"/>
  <c r="H59" i="1" s="1"/>
  <c r="G55" i="1"/>
  <c r="G57" i="1" s="1"/>
  <c r="G59" i="1" s="1"/>
  <c r="G61" i="1"/>
  <c r="I55" i="1"/>
  <c r="I57" i="1" s="1"/>
  <c r="I59" i="1" s="1"/>
  <c r="G63" i="1" l="1"/>
  <c r="G66" i="1" s="1"/>
  <c r="G65" i="1" s="1"/>
  <c r="H63" i="1"/>
</calcChain>
</file>

<file path=xl/sharedStrings.xml><?xml version="1.0" encoding="utf-8"?>
<sst xmlns="http://schemas.openxmlformats.org/spreadsheetml/2006/main" count="30" uniqueCount="30">
  <si>
    <t>x2-x2bar</t>
  </si>
  <si>
    <t>x1-x1bar</t>
  </si>
  <si>
    <t>y-ybar</t>
  </si>
  <si>
    <t>Variance</t>
  </si>
  <si>
    <t>(x1-x1bar)^2</t>
  </si>
  <si>
    <t>(x2-x2bar)^2</t>
  </si>
  <si>
    <t>(y-ybar)^2</t>
  </si>
  <si>
    <t>s_x1^2</t>
  </si>
  <si>
    <t>s_x2^2</t>
  </si>
  <si>
    <t>s_y^2</t>
  </si>
  <si>
    <t>Std.Dev</t>
  </si>
  <si>
    <t>s_x1</t>
  </si>
  <si>
    <t>s_x2</t>
  </si>
  <si>
    <t>s_y</t>
  </si>
  <si>
    <t>Coeff. Var</t>
  </si>
  <si>
    <t>cv_x1</t>
  </si>
  <si>
    <t>cv_x2</t>
  </si>
  <si>
    <t>cv_y</t>
  </si>
  <si>
    <t>(x1-x1bar)(y-ybar)</t>
  </si>
  <si>
    <t>(x2-x2bar)(y-ybar)</t>
  </si>
  <si>
    <t>Cov.</t>
  </si>
  <si>
    <t>s_x1y</t>
  </si>
  <si>
    <t>s_x2y</t>
  </si>
  <si>
    <t>Corr. Coeff.</t>
  </si>
  <si>
    <t>r_x1y</t>
  </si>
  <si>
    <t>r_x2y</t>
  </si>
  <si>
    <t>a1</t>
  </si>
  <si>
    <t>b1</t>
  </si>
  <si>
    <t>a2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</si>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</sst>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R"/>
                </a:p>
              </c:txPr>
            </c:trendlineLbl>
          </c:trendline>
          <c:xVal>
            <c:numRef>
              <c:f>Sheet2!$A$1:$A$50</c:f>
              <c:numCache>
                <c:formatCode>General</c:formatCode>
                <c:ptCount val="50"/>
                <c:pt idx="0">
                  <c:v>100000</c:v>
                </c:pt>
                <c:pt idx="1">
                  <c:v>108000</c:v>
                </c:pt>
                <c:pt idx="2">
                  <c:v>120000</c:v>
                </c:pt>
                <c:pt idx="3">
                  <c:v>83000</c:v>
                </c:pt>
                <c:pt idx="4">
                  <c:v>134000</c:v>
                </c:pt>
                <c:pt idx="5">
                  <c:v>90000</c:v>
                </c:pt>
                <c:pt idx="6">
                  <c:v>155000</c:v>
                </c:pt>
                <c:pt idx="7">
                  <c:v>150000</c:v>
                </c:pt>
                <c:pt idx="8">
                  <c:v>85000</c:v>
                </c:pt>
                <c:pt idx="9">
                  <c:v>199000</c:v>
                </c:pt>
                <c:pt idx="10">
                  <c:v>160000</c:v>
                </c:pt>
                <c:pt idx="11">
                  <c:v>15258</c:v>
                </c:pt>
                <c:pt idx="12">
                  <c:v>69000</c:v>
                </c:pt>
                <c:pt idx="13">
                  <c:v>119000</c:v>
                </c:pt>
                <c:pt idx="14">
                  <c:v>19000</c:v>
                </c:pt>
                <c:pt idx="15">
                  <c:v>148000</c:v>
                </c:pt>
                <c:pt idx="16">
                  <c:v>215000</c:v>
                </c:pt>
                <c:pt idx="17">
                  <c:v>125000</c:v>
                </c:pt>
                <c:pt idx="18">
                  <c:v>98600</c:v>
                </c:pt>
                <c:pt idx="19">
                  <c:v>99000</c:v>
                </c:pt>
                <c:pt idx="20">
                  <c:v>275000</c:v>
                </c:pt>
                <c:pt idx="21">
                  <c:v>145000</c:v>
                </c:pt>
                <c:pt idx="22">
                  <c:v>515000</c:v>
                </c:pt>
                <c:pt idx="23">
                  <c:v>120000</c:v>
                </c:pt>
                <c:pt idx="24">
                  <c:v>163000</c:v>
                </c:pt>
                <c:pt idx="25">
                  <c:v>83000</c:v>
                </c:pt>
                <c:pt idx="26">
                  <c:v>34000</c:v>
                </c:pt>
                <c:pt idx="27">
                  <c:v>103000</c:v>
                </c:pt>
                <c:pt idx="28">
                  <c:v>210000</c:v>
                </c:pt>
                <c:pt idx="29">
                  <c:v>114000</c:v>
                </c:pt>
                <c:pt idx="30">
                  <c:v>173000</c:v>
                </c:pt>
                <c:pt idx="31">
                  <c:v>159000</c:v>
                </c:pt>
                <c:pt idx="32">
                  <c:v>245000</c:v>
                </c:pt>
                <c:pt idx="33">
                  <c:v>195000</c:v>
                </c:pt>
                <c:pt idx="34">
                  <c:v>115000</c:v>
                </c:pt>
                <c:pt idx="35">
                  <c:v>173000</c:v>
                </c:pt>
                <c:pt idx="36">
                  <c:v>119000</c:v>
                </c:pt>
                <c:pt idx="37">
                  <c:v>80000</c:v>
                </c:pt>
                <c:pt idx="38">
                  <c:v>81000</c:v>
                </c:pt>
                <c:pt idx="39">
                  <c:v>65000</c:v>
                </c:pt>
                <c:pt idx="40">
                  <c:v>82000</c:v>
                </c:pt>
                <c:pt idx="41">
                  <c:v>60000</c:v>
                </c:pt>
                <c:pt idx="42">
                  <c:v>50000</c:v>
                </c:pt>
                <c:pt idx="43">
                  <c:v>130000</c:v>
                </c:pt>
                <c:pt idx="44">
                  <c:v>102000</c:v>
                </c:pt>
                <c:pt idx="45">
                  <c:v>126000</c:v>
                </c:pt>
                <c:pt idx="46">
                  <c:v>156500</c:v>
                </c:pt>
                <c:pt idx="47">
                  <c:v>92000</c:v>
                </c:pt>
                <c:pt idx="48">
                  <c:v>142500</c:v>
                </c:pt>
                <c:pt idx="49">
                  <c:v>89000</c:v>
                </c:pt>
              </c:numCache>
            </c:numRef>
          </c:xVal>
          <c:yVal>
            <c:numRef>
              <c:f>Sheet2!$B$1:$B$50</c:f>
              <c:numCache>
                <c:formatCode>General</c:formatCode>
                <c:ptCount val="50"/>
                <c:pt idx="0">
                  <c:v>2690000</c:v>
                </c:pt>
                <c:pt idx="1">
                  <c:v>2700000</c:v>
                </c:pt>
                <c:pt idx="2">
                  <c:v>3200000</c:v>
                </c:pt>
                <c:pt idx="3">
                  <c:v>3250000</c:v>
                </c:pt>
                <c:pt idx="4">
                  <c:v>2850000</c:v>
                </c:pt>
                <c:pt idx="5">
                  <c:v>2790000</c:v>
                </c:pt>
                <c:pt idx="6">
                  <c:v>2768000</c:v>
                </c:pt>
                <c:pt idx="7">
                  <c:v>2375000</c:v>
                </c:pt>
                <c:pt idx="8">
                  <c:v>3095000</c:v>
                </c:pt>
                <c:pt idx="9">
                  <c:v>2049000</c:v>
                </c:pt>
                <c:pt idx="10">
                  <c:v>2400000</c:v>
                </c:pt>
                <c:pt idx="11">
                  <c:v>3399000</c:v>
                </c:pt>
                <c:pt idx="12">
                  <c:v>2635000</c:v>
                </c:pt>
                <c:pt idx="13">
                  <c:v>3349000</c:v>
                </c:pt>
                <c:pt idx="14">
                  <c:v>4175000</c:v>
                </c:pt>
                <c:pt idx="15">
                  <c:v>2575000</c:v>
                </c:pt>
                <c:pt idx="16">
                  <c:v>2275000</c:v>
                </c:pt>
                <c:pt idx="17">
                  <c:v>2618999</c:v>
                </c:pt>
                <c:pt idx="18">
                  <c:v>2325000</c:v>
                </c:pt>
                <c:pt idx="19">
                  <c:v>2750000</c:v>
                </c:pt>
                <c:pt idx="20">
                  <c:v>1275000</c:v>
                </c:pt>
                <c:pt idx="21">
                  <c:v>2675000</c:v>
                </c:pt>
                <c:pt idx="22">
                  <c:v>1000000</c:v>
                </c:pt>
                <c:pt idx="23">
                  <c:v>2850000</c:v>
                </c:pt>
                <c:pt idx="24">
                  <c:v>2540000</c:v>
                </c:pt>
                <c:pt idx="25">
                  <c:v>2850000</c:v>
                </c:pt>
                <c:pt idx="26">
                  <c:v>4200000</c:v>
                </c:pt>
                <c:pt idx="27">
                  <c:v>3475000</c:v>
                </c:pt>
                <c:pt idx="28">
                  <c:v>2435000</c:v>
                </c:pt>
                <c:pt idx="29">
                  <c:v>2675000</c:v>
                </c:pt>
                <c:pt idx="30">
                  <c:v>2450000</c:v>
                </c:pt>
                <c:pt idx="31">
                  <c:v>2543000</c:v>
                </c:pt>
                <c:pt idx="32">
                  <c:v>2350000</c:v>
                </c:pt>
                <c:pt idx="33">
                  <c:v>1300000</c:v>
                </c:pt>
                <c:pt idx="34">
                  <c:v>2815000</c:v>
                </c:pt>
                <c:pt idx="35">
                  <c:v>1950000</c:v>
                </c:pt>
                <c:pt idx="36">
                  <c:v>2530000</c:v>
                </c:pt>
                <c:pt idx="37">
                  <c:v>2879000</c:v>
                </c:pt>
                <c:pt idx="38">
                  <c:v>3020000</c:v>
                </c:pt>
                <c:pt idx="39">
                  <c:v>2910000</c:v>
                </c:pt>
                <c:pt idx="40">
                  <c:v>3800000</c:v>
                </c:pt>
                <c:pt idx="41">
                  <c:v>3100000</c:v>
                </c:pt>
                <c:pt idx="42">
                  <c:v>3380000</c:v>
                </c:pt>
                <c:pt idx="43">
                  <c:v>2990000</c:v>
                </c:pt>
                <c:pt idx="44">
                  <c:v>2670000</c:v>
                </c:pt>
                <c:pt idx="45">
                  <c:v>2900000</c:v>
                </c:pt>
                <c:pt idx="46">
                  <c:v>2535000</c:v>
                </c:pt>
                <c:pt idx="47">
                  <c:v>2970000</c:v>
                </c:pt>
                <c:pt idx="48">
                  <c:v>3065000</c:v>
                </c:pt>
                <c:pt idx="49">
                  <c:v>2865000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73-B446-ADDF-A4DE638D7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723647"/>
        <c:axId val="959057407"/>
      </c:scatterChart>
      <c:valAx>
        <c:axId val="95872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959057407"/>
        <c:crosses val="autoZero"/>
        <c:crossBetween val="midCat"/>
      </c:valAx>
      <c:valAx>
        <c:axId val="95905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958723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R"/>
                </a:p>
              </c:txPr>
            </c:trendlineLbl>
          </c:trendline>
          <c:xVal>
            <c:numRef>
              <c:f>Sheet1!$A$1:$A$50</c:f>
              <c:numCache>
                <c:formatCode>General</c:formatCode>
                <c:ptCount val="50"/>
                <c:pt idx="0">
                  <c:v>7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7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7</c:v>
                </c:pt>
                <c:pt idx="13">
                  <c:v>6</c:v>
                </c:pt>
                <c:pt idx="14">
                  <c:v>3</c:v>
                </c:pt>
                <c:pt idx="15">
                  <c:v>6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13</c:v>
                </c:pt>
                <c:pt idx="21">
                  <c:v>6</c:v>
                </c:pt>
                <c:pt idx="22">
                  <c:v>14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3</c:v>
                </c:pt>
                <c:pt idx="27">
                  <c:v>3</c:v>
                </c:pt>
                <c:pt idx="28">
                  <c:v>7</c:v>
                </c:pt>
                <c:pt idx="29">
                  <c:v>7</c:v>
                </c:pt>
                <c:pt idx="30">
                  <c:v>6</c:v>
                </c:pt>
                <c:pt idx="31">
                  <c:v>7</c:v>
                </c:pt>
                <c:pt idx="32">
                  <c:v>6</c:v>
                </c:pt>
                <c:pt idx="33">
                  <c:v>11</c:v>
                </c:pt>
                <c:pt idx="34">
                  <c:v>6</c:v>
                </c:pt>
                <c:pt idx="35">
                  <c:v>10</c:v>
                </c:pt>
                <c:pt idx="36">
                  <c:v>5</c:v>
                </c:pt>
                <c:pt idx="37">
                  <c:v>6</c:v>
                </c:pt>
                <c:pt idx="38">
                  <c:v>4</c:v>
                </c:pt>
                <c:pt idx="39">
                  <c:v>7</c:v>
                </c:pt>
                <c:pt idx="40">
                  <c:v>3</c:v>
                </c:pt>
                <c:pt idx="41">
                  <c:v>5</c:v>
                </c:pt>
                <c:pt idx="42">
                  <c:v>2</c:v>
                </c:pt>
                <c:pt idx="43">
                  <c:v>6</c:v>
                </c:pt>
                <c:pt idx="44">
                  <c:v>7</c:v>
                </c:pt>
                <c:pt idx="45">
                  <c:v>6</c:v>
                </c:pt>
                <c:pt idx="46">
                  <c:v>7</c:v>
                </c:pt>
                <c:pt idx="47">
                  <c:v>6</c:v>
                </c:pt>
                <c:pt idx="48">
                  <c:v>4</c:v>
                </c:pt>
                <c:pt idx="49">
                  <c:v>3</c:v>
                </c:pt>
              </c:numCache>
            </c:numRef>
          </c:xVal>
          <c:yVal>
            <c:numRef>
              <c:f>Sheet1!$B$1:$B$50</c:f>
              <c:numCache>
                <c:formatCode>General</c:formatCode>
                <c:ptCount val="50"/>
                <c:pt idx="0">
                  <c:v>2690000</c:v>
                </c:pt>
                <c:pt idx="1">
                  <c:v>2700000</c:v>
                </c:pt>
                <c:pt idx="2">
                  <c:v>3200000</c:v>
                </c:pt>
                <c:pt idx="3">
                  <c:v>3250000</c:v>
                </c:pt>
                <c:pt idx="4">
                  <c:v>2850000</c:v>
                </c:pt>
                <c:pt idx="5">
                  <c:v>2790000</c:v>
                </c:pt>
                <c:pt idx="6">
                  <c:v>2768000</c:v>
                </c:pt>
                <c:pt idx="7">
                  <c:v>2375000</c:v>
                </c:pt>
                <c:pt idx="8">
                  <c:v>3095000</c:v>
                </c:pt>
                <c:pt idx="9">
                  <c:v>2049000</c:v>
                </c:pt>
                <c:pt idx="10">
                  <c:v>2400000</c:v>
                </c:pt>
                <c:pt idx="11">
                  <c:v>3399000</c:v>
                </c:pt>
                <c:pt idx="12">
                  <c:v>2635000</c:v>
                </c:pt>
                <c:pt idx="13">
                  <c:v>3349000</c:v>
                </c:pt>
                <c:pt idx="14">
                  <c:v>4175000</c:v>
                </c:pt>
                <c:pt idx="15">
                  <c:v>2575000</c:v>
                </c:pt>
                <c:pt idx="16">
                  <c:v>2275000</c:v>
                </c:pt>
                <c:pt idx="17">
                  <c:v>2618999</c:v>
                </c:pt>
                <c:pt idx="18">
                  <c:v>2325000</c:v>
                </c:pt>
                <c:pt idx="19">
                  <c:v>2750000</c:v>
                </c:pt>
                <c:pt idx="20">
                  <c:v>1275000</c:v>
                </c:pt>
                <c:pt idx="21">
                  <c:v>2675000</c:v>
                </c:pt>
                <c:pt idx="22">
                  <c:v>1000000</c:v>
                </c:pt>
                <c:pt idx="23">
                  <c:v>2850000</c:v>
                </c:pt>
                <c:pt idx="24">
                  <c:v>2540000</c:v>
                </c:pt>
                <c:pt idx="25">
                  <c:v>2850000</c:v>
                </c:pt>
                <c:pt idx="26">
                  <c:v>4200000</c:v>
                </c:pt>
                <c:pt idx="27">
                  <c:v>3475000</c:v>
                </c:pt>
                <c:pt idx="28">
                  <c:v>2435000</c:v>
                </c:pt>
                <c:pt idx="29">
                  <c:v>2675000</c:v>
                </c:pt>
                <c:pt idx="30">
                  <c:v>2450000</c:v>
                </c:pt>
                <c:pt idx="31">
                  <c:v>2543000</c:v>
                </c:pt>
                <c:pt idx="32">
                  <c:v>2350000</c:v>
                </c:pt>
                <c:pt idx="33">
                  <c:v>1300000</c:v>
                </c:pt>
                <c:pt idx="34">
                  <c:v>2815000</c:v>
                </c:pt>
                <c:pt idx="35">
                  <c:v>1950000</c:v>
                </c:pt>
                <c:pt idx="36">
                  <c:v>2530000</c:v>
                </c:pt>
                <c:pt idx="37">
                  <c:v>2879000</c:v>
                </c:pt>
                <c:pt idx="38">
                  <c:v>3020000</c:v>
                </c:pt>
                <c:pt idx="39">
                  <c:v>2910000</c:v>
                </c:pt>
                <c:pt idx="40">
                  <c:v>3800000</c:v>
                </c:pt>
                <c:pt idx="41">
                  <c:v>3100000</c:v>
                </c:pt>
                <c:pt idx="42">
                  <c:v>3380000</c:v>
                </c:pt>
                <c:pt idx="43">
                  <c:v>2990000</c:v>
                </c:pt>
                <c:pt idx="44">
                  <c:v>2670000</c:v>
                </c:pt>
                <c:pt idx="45">
                  <c:v>2900000</c:v>
                </c:pt>
                <c:pt idx="46">
                  <c:v>2535000</c:v>
                </c:pt>
                <c:pt idx="47">
                  <c:v>2970000</c:v>
                </c:pt>
                <c:pt idx="48">
                  <c:v>3065000</c:v>
                </c:pt>
                <c:pt idx="49">
                  <c:v>2865000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56-3B4F-90C2-6CD4D2E22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809407"/>
        <c:axId val="958784255"/>
      </c:scatterChart>
      <c:valAx>
        <c:axId val="95880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958784255"/>
        <c:crosses val="autoZero"/>
        <c:crossBetween val="midCat"/>
      </c:valAx>
      <c:valAx>
        <c:axId val="95878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95880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</xdr:colOff>
      <xdr:row>6</xdr:row>
      <xdr:rowOff>25400</xdr:rowOff>
    </xdr:from>
    <xdr:to>
      <xdr:col>15</xdr:col>
      <xdr:colOff>266700</xdr:colOff>
      <xdr:row>33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199A4E-05D2-A9F7-FB2A-76269ADF3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812800</xdr:colOff>
      <xdr:row>4</xdr:row>
      <xdr:rowOff>101600</xdr:rowOff>
    </xdr:from>
    <xdr:to>
      <xdr:col>15</xdr:col>
      <xdr:colOff>762000</xdr:colOff>
      <xdr:row>36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B8F647-2E37-F073-495D-68200E729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D315-3092-444A-B822-0B5A5C527C04}">
  <dimension ref="A1:K68"/>
  <sheetViews>
    <sheetView tabSelected="1" topLeftCell="A52" zoomScale="160" zoomScaleNormal="160" workbookViewId="0">
      <selection activeCell="G67" sqref="G67"/>
    </sheetView>
  </sheetViews>
  <sheetFormatPr baseColWidth="10" defaultRowHeight="16" x14ac:dyDescent="0.2"/>
  <cols>
    <col min="8" max="8" width="13.1640625" bestFit="1" customWidth="1"/>
    <col min="9" max="9" width="12.5" bestFit="1" customWidth="1"/>
    <col min="10" max="10" width="15.6640625" customWidth="1"/>
    <col min="11" max="11" width="15.33203125" customWidth="1"/>
  </cols>
  <sheetData>
    <row r="1" spans="1:11" x14ac:dyDescent="0.2">
      <c r="A1">
        <v>7</v>
      </c>
      <c r="B1">
        <v>100000</v>
      </c>
      <c r="C1">
        <v>2690000</v>
      </c>
      <c r="D1">
        <f>A1-$A$51</f>
        <v>0.86000000000000032</v>
      </c>
      <c r="E1">
        <f>B1-$B$51</f>
        <v>-29777.160000000003</v>
      </c>
      <c r="F1">
        <f>C1-$C$51</f>
        <v>-55319.979999999981</v>
      </c>
      <c r="G1">
        <f>POWER(D1, 2)</f>
        <v>0.73960000000000059</v>
      </c>
      <c r="H1">
        <f>POWER(E1, 2)</f>
        <v>886679257.66560018</v>
      </c>
      <c r="I1">
        <f>POWER(F1, 2)</f>
        <v>3060300187.200398</v>
      </c>
      <c r="J1">
        <f>(A1-$A$51)*(C1-$C$51)</f>
        <v>-47575.182800000002</v>
      </c>
      <c r="K1">
        <f>(B1-$B$51)*(C1-$C$51)</f>
        <v>1647271895.6567996</v>
      </c>
    </row>
    <row r="2" spans="1:11" x14ac:dyDescent="0.2">
      <c r="A2">
        <v>5</v>
      </c>
      <c r="B2">
        <v>108000</v>
      </c>
      <c r="C2">
        <v>2700000</v>
      </c>
      <c r="D2">
        <f t="shared" ref="D2:D50" si="0">A2-$A$51</f>
        <v>-1.1399999999999997</v>
      </c>
      <c r="E2">
        <f t="shared" ref="E2:E50" si="1">B2-$B$51</f>
        <v>-21777.160000000003</v>
      </c>
      <c r="F2">
        <f t="shared" ref="F2:F50" si="2">C2-$C$51</f>
        <v>-45319.979999999981</v>
      </c>
      <c r="G2">
        <f t="shared" ref="G2:G50" si="3">POWER(D2, 2)</f>
        <v>1.2995999999999992</v>
      </c>
      <c r="H2">
        <f t="shared" ref="H2:H50" si="4">POWER(E2, 2)</f>
        <v>474244697.66560018</v>
      </c>
      <c r="I2">
        <f t="shared" ref="I2:I50" si="5">POWER(F2, 2)</f>
        <v>2053900587.2003982</v>
      </c>
      <c r="J2">
        <f t="shared" ref="J2:J50" si="6">(A2-$A$51)*(C2-$C$51)</f>
        <v>51664.777199999968</v>
      </c>
      <c r="K2">
        <f t="shared" ref="K2:K50" si="7">(B2-$B$51)*(C2-$C$51)</f>
        <v>986940455.65679979</v>
      </c>
    </row>
    <row r="3" spans="1:11" x14ac:dyDescent="0.2">
      <c r="A3">
        <v>7</v>
      </c>
      <c r="B3">
        <v>120000</v>
      </c>
      <c r="C3">
        <v>3200000</v>
      </c>
      <c r="D3">
        <f t="shared" si="0"/>
        <v>0.86000000000000032</v>
      </c>
      <c r="E3">
        <f t="shared" si="1"/>
        <v>-9777.1600000000035</v>
      </c>
      <c r="F3">
        <f t="shared" si="2"/>
        <v>454680.02</v>
      </c>
      <c r="G3">
        <f t="shared" si="3"/>
        <v>0.73960000000000059</v>
      </c>
      <c r="H3">
        <f t="shared" si="4"/>
        <v>95592857.665600061</v>
      </c>
      <c r="I3">
        <f t="shared" si="5"/>
        <v>206733920587.20041</v>
      </c>
      <c r="J3">
        <f t="shared" si="6"/>
        <v>391024.81720000017</v>
      </c>
      <c r="K3">
        <f t="shared" si="7"/>
        <v>-4445479304.3432016</v>
      </c>
    </row>
    <row r="4" spans="1:11" x14ac:dyDescent="0.2">
      <c r="A4">
        <v>6</v>
      </c>
      <c r="B4">
        <v>83000</v>
      </c>
      <c r="C4">
        <v>3250000</v>
      </c>
      <c r="D4">
        <f t="shared" si="0"/>
        <v>-0.13999999999999968</v>
      </c>
      <c r="E4">
        <f t="shared" si="1"/>
        <v>-46777.16</v>
      </c>
      <c r="F4">
        <f t="shared" si="2"/>
        <v>504680.02</v>
      </c>
      <c r="G4">
        <f t="shared" si="3"/>
        <v>1.9599999999999909E-2</v>
      </c>
      <c r="H4">
        <f t="shared" si="4"/>
        <v>2188102697.6656003</v>
      </c>
      <c r="I4">
        <f t="shared" si="5"/>
        <v>254701922587.20041</v>
      </c>
      <c r="J4">
        <f t="shared" si="6"/>
        <v>-70655.202799999839</v>
      </c>
      <c r="K4">
        <f t="shared" si="7"/>
        <v>-23607498044.343204</v>
      </c>
    </row>
    <row r="5" spans="1:11" x14ac:dyDescent="0.2">
      <c r="A5">
        <v>5</v>
      </c>
      <c r="B5">
        <v>134000</v>
      </c>
      <c r="C5">
        <v>2850000</v>
      </c>
      <c r="D5">
        <f t="shared" si="0"/>
        <v>-1.1399999999999997</v>
      </c>
      <c r="E5">
        <f t="shared" si="1"/>
        <v>4222.8399999999965</v>
      </c>
      <c r="F5">
        <f t="shared" si="2"/>
        <v>104680.02000000002</v>
      </c>
      <c r="G5">
        <f t="shared" si="3"/>
        <v>1.2995999999999992</v>
      </c>
      <c r="H5">
        <f t="shared" si="4"/>
        <v>17832377.665599972</v>
      </c>
      <c r="I5">
        <f t="shared" si="5"/>
        <v>10957906587.200403</v>
      </c>
      <c r="J5">
        <f t="shared" si="6"/>
        <v>-119335.22279999999</v>
      </c>
      <c r="K5">
        <f t="shared" si="7"/>
        <v>442046975.65679973</v>
      </c>
    </row>
    <row r="6" spans="1:11" x14ac:dyDescent="0.2">
      <c r="A6">
        <v>7</v>
      </c>
      <c r="B6">
        <v>90000</v>
      </c>
      <c r="C6">
        <v>2790000</v>
      </c>
      <c r="D6">
        <f t="shared" si="0"/>
        <v>0.86000000000000032</v>
      </c>
      <c r="E6">
        <f t="shared" si="1"/>
        <v>-39777.160000000003</v>
      </c>
      <c r="F6">
        <f t="shared" si="2"/>
        <v>44680.020000000019</v>
      </c>
      <c r="G6">
        <f t="shared" si="3"/>
        <v>0.73960000000000059</v>
      </c>
      <c r="H6">
        <f t="shared" si="4"/>
        <v>1582222457.6656003</v>
      </c>
      <c r="I6">
        <f t="shared" si="5"/>
        <v>1996304187.2004018</v>
      </c>
      <c r="J6">
        <f t="shared" si="6"/>
        <v>38424.817200000027</v>
      </c>
      <c r="K6">
        <f t="shared" si="7"/>
        <v>-1777244304.3432009</v>
      </c>
    </row>
    <row r="7" spans="1:11" x14ac:dyDescent="0.2">
      <c r="A7">
        <v>5</v>
      </c>
      <c r="B7">
        <v>155000</v>
      </c>
      <c r="C7">
        <v>2768000</v>
      </c>
      <c r="D7">
        <f t="shared" si="0"/>
        <v>-1.1399999999999997</v>
      </c>
      <c r="E7">
        <f t="shared" si="1"/>
        <v>25222.839999999997</v>
      </c>
      <c r="F7">
        <f t="shared" si="2"/>
        <v>22680.020000000019</v>
      </c>
      <c r="G7">
        <f t="shared" si="3"/>
        <v>1.2995999999999992</v>
      </c>
      <c r="H7">
        <f t="shared" si="4"/>
        <v>636191657.66559982</v>
      </c>
      <c r="I7">
        <f t="shared" si="5"/>
        <v>514383307.20040083</v>
      </c>
      <c r="J7">
        <f t="shared" si="6"/>
        <v>-25855.222800000014</v>
      </c>
      <c r="K7">
        <f t="shared" si="7"/>
        <v>572054515.65680039</v>
      </c>
    </row>
    <row r="8" spans="1:11" x14ac:dyDescent="0.2">
      <c r="A8">
        <v>6</v>
      </c>
      <c r="B8">
        <v>150000</v>
      </c>
      <c r="C8">
        <v>2375000</v>
      </c>
      <c r="D8">
        <f t="shared" si="0"/>
        <v>-0.13999999999999968</v>
      </c>
      <c r="E8">
        <f t="shared" si="1"/>
        <v>20222.839999999997</v>
      </c>
      <c r="F8">
        <f t="shared" si="2"/>
        <v>-370319.98</v>
      </c>
      <c r="G8">
        <f t="shared" si="3"/>
        <v>1.9599999999999909E-2</v>
      </c>
      <c r="H8">
        <f t="shared" si="4"/>
        <v>408963257.66559988</v>
      </c>
      <c r="I8">
        <f t="shared" si="5"/>
        <v>137136887587.20039</v>
      </c>
      <c r="J8">
        <f t="shared" si="6"/>
        <v>51844.797199999877</v>
      </c>
      <c r="K8">
        <f t="shared" si="7"/>
        <v>-7488921704.3431988</v>
      </c>
    </row>
    <row r="9" spans="1:11" x14ac:dyDescent="0.2">
      <c r="A9">
        <v>6</v>
      </c>
      <c r="B9">
        <v>85000</v>
      </c>
      <c r="C9">
        <v>3095000</v>
      </c>
      <c r="D9">
        <f t="shared" si="0"/>
        <v>-0.13999999999999968</v>
      </c>
      <c r="E9">
        <f t="shared" si="1"/>
        <v>-44777.16</v>
      </c>
      <c r="F9">
        <f t="shared" si="2"/>
        <v>349680.02</v>
      </c>
      <c r="G9">
        <f t="shared" si="3"/>
        <v>1.9599999999999909E-2</v>
      </c>
      <c r="H9">
        <f t="shared" si="4"/>
        <v>2004994057.6656003</v>
      </c>
      <c r="I9">
        <f t="shared" si="5"/>
        <v>122276116387.20041</v>
      </c>
      <c r="J9">
        <f t="shared" si="6"/>
        <v>-48955.20279999989</v>
      </c>
      <c r="K9">
        <f t="shared" si="7"/>
        <v>-15657678204.343203</v>
      </c>
    </row>
    <row r="10" spans="1:11" x14ac:dyDescent="0.2">
      <c r="A10">
        <v>7</v>
      </c>
      <c r="B10">
        <v>199000</v>
      </c>
      <c r="C10">
        <v>2049000</v>
      </c>
      <c r="D10">
        <f t="shared" si="0"/>
        <v>0.86000000000000032</v>
      </c>
      <c r="E10">
        <f t="shared" si="1"/>
        <v>69222.84</v>
      </c>
      <c r="F10">
        <f t="shared" si="2"/>
        <v>-696319.98</v>
      </c>
      <c r="G10">
        <f t="shared" si="3"/>
        <v>0.73960000000000059</v>
      </c>
      <c r="H10">
        <f t="shared" si="4"/>
        <v>4791801577.6655998</v>
      </c>
      <c r="I10">
        <f t="shared" si="5"/>
        <v>484861514547.20038</v>
      </c>
      <c r="J10">
        <f t="shared" si="6"/>
        <v>-598835.18280000018</v>
      </c>
      <c r="K10">
        <f t="shared" si="7"/>
        <v>-48201246564.343193</v>
      </c>
    </row>
    <row r="11" spans="1:11" x14ac:dyDescent="0.2">
      <c r="A11">
        <v>6</v>
      </c>
      <c r="B11">
        <v>160000</v>
      </c>
      <c r="C11">
        <v>2400000</v>
      </c>
      <c r="D11">
        <f t="shared" si="0"/>
        <v>-0.13999999999999968</v>
      </c>
      <c r="E11">
        <f t="shared" si="1"/>
        <v>30222.839999999997</v>
      </c>
      <c r="F11">
        <f t="shared" si="2"/>
        <v>-345319.98</v>
      </c>
      <c r="G11">
        <f t="shared" si="3"/>
        <v>1.9599999999999909E-2</v>
      </c>
      <c r="H11">
        <f t="shared" si="4"/>
        <v>913420057.66559982</v>
      </c>
      <c r="I11">
        <f t="shared" si="5"/>
        <v>119245888587.20039</v>
      </c>
      <c r="J11">
        <f t="shared" si="6"/>
        <v>48344.797199999884</v>
      </c>
      <c r="K11">
        <f t="shared" si="7"/>
        <v>-10436550504.343199</v>
      </c>
    </row>
    <row r="12" spans="1:11" x14ac:dyDescent="0.2">
      <c r="A12">
        <v>5</v>
      </c>
      <c r="B12">
        <v>15258</v>
      </c>
      <c r="C12">
        <v>3399000</v>
      </c>
      <c r="D12">
        <f t="shared" si="0"/>
        <v>-1.1399999999999997</v>
      </c>
      <c r="E12">
        <f t="shared" si="1"/>
        <v>-114519.16</v>
      </c>
      <c r="F12">
        <f t="shared" si="2"/>
        <v>653680.02</v>
      </c>
      <c r="G12">
        <f t="shared" si="3"/>
        <v>1.2995999999999992</v>
      </c>
      <c r="H12">
        <f t="shared" si="4"/>
        <v>13114638007.1056</v>
      </c>
      <c r="I12">
        <f t="shared" si="5"/>
        <v>427297568547.20044</v>
      </c>
      <c r="J12">
        <f t="shared" si="6"/>
        <v>-745195.22279999976</v>
      </c>
      <c r="K12">
        <f t="shared" si="7"/>
        <v>-74858886799.183197</v>
      </c>
    </row>
    <row r="13" spans="1:11" x14ac:dyDescent="0.2">
      <c r="A13">
        <v>7</v>
      </c>
      <c r="B13">
        <v>69000</v>
      </c>
      <c r="C13">
        <v>2635000</v>
      </c>
      <c r="D13">
        <f t="shared" si="0"/>
        <v>0.86000000000000032</v>
      </c>
      <c r="E13">
        <f t="shared" si="1"/>
        <v>-60777.16</v>
      </c>
      <c r="F13">
        <f t="shared" si="2"/>
        <v>-110319.97999999998</v>
      </c>
      <c r="G13">
        <f t="shared" si="3"/>
        <v>0.73960000000000059</v>
      </c>
      <c r="H13">
        <f t="shared" si="4"/>
        <v>3693863177.6656003</v>
      </c>
      <c r="I13">
        <f t="shared" si="5"/>
        <v>12170497987.200396</v>
      </c>
      <c r="J13">
        <f t="shared" si="6"/>
        <v>-94875.182800000024</v>
      </c>
      <c r="K13">
        <f t="shared" si="7"/>
        <v>6704935075.6567993</v>
      </c>
    </row>
    <row r="14" spans="1:11" x14ac:dyDescent="0.2">
      <c r="A14">
        <v>6</v>
      </c>
      <c r="B14">
        <v>119000</v>
      </c>
      <c r="C14">
        <v>3349000</v>
      </c>
      <c r="D14">
        <f t="shared" si="0"/>
        <v>-0.13999999999999968</v>
      </c>
      <c r="E14">
        <f t="shared" si="1"/>
        <v>-10777.160000000003</v>
      </c>
      <c r="F14">
        <f t="shared" si="2"/>
        <v>603680.02</v>
      </c>
      <c r="G14">
        <f t="shared" si="3"/>
        <v>1.9599999999999909E-2</v>
      </c>
      <c r="H14">
        <f t="shared" si="4"/>
        <v>116147177.66560008</v>
      </c>
      <c r="I14">
        <f t="shared" si="5"/>
        <v>364429566547.20044</v>
      </c>
      <c r="J14">
        <f t="shared" si="6"/>
        <v>-84515.20279999981</v>
      </c>
      <c r="K14">
        <f t="shared" si="7"/>
        <v>-6505956164.3432026</v>
      </c>
    </row>
    <row r="15" spans="1:11" x14ac:dyDescent="0.2">
      <c r="A15">
        <v>3</v>
      </c>
      <c r="B15">
        <v>19000</v>
      </c>
      <c r="C15">
        <v>4175000</v>
      </c>
      <c r="D15">
        <f t="shared" si="0"/>
        <v>-3.1399999999999997</v>
      </c>
      <c r="E15">
        <f t="shared" si="1"/>
        <v>-110777.16</v>
      </c>
      <c r="F15">
        <f t="shared" si="2"/>
        <v>1429680.02</v>
      </c>
      <c r="G15">
        <f t="shared" si="3"/>
        <v>9.8595999999999986</v>
      </c>
      <c r="H15">
        <f t="shared" si="4"/>
        <v>12271579177.6656</v>
      </c>
      <c r="I15">
        <f t="shared" si="5"/>
        <v>2043984959587.2004</v>
      </c>
      <c r="J15">
        <f t="shared" si="6"/>
        <v>-4489195.2627999997</v>
      </c>
      <c r="K15">
        <f t="shared" si="7"/>
        <v>-158375892324.3432</v>
      </c>
    </row>
    <row r="16" spans="1:11" x14ac:dyDescent="0.2">
      <c r="A16">
        <v>6</v>
      </c>
      <c r="B16">
        <v>148000</v>
      </c>
      <c r="C16">
        <v>2575000</v>
      </c>
      <c r="D16">
        <f t="shared" si="0"/>
        <v>-0.13999999999999968</v>
      </c>
      <c r="E16">
        <f t="shared" si="1"/>
        <v>18222.839999999997</v>
      </c>
      <c r="F16">
        <f t="shared" si="2"/>
        <v>-170319.97999999998</v>
      </c>
      <c r="G16">
        <f t="shared" si="3"/>
        <v>1.9599999999999909E-2</v>
      </c>
      <c r="H16">
        <f t="shared" si="4"/>
        <v>332071897.66559988</v>
      </c>
      <c r="I16">
        <f t="shared" si="5"/>
        <v>29008895587.200394</v>
      </c>
      <c r="J16">
        <f t="shared" si="6"/>
        <v>23844.797199999943</v>
      </c>
      <c r="K16">
        <f t="shared" si="7"/>
        <v>-3103713744.3431993</v>
      </c>
    </row>
    <row r="17" spans="1:11" x14ac:dyDescent="0.2">
      <c r="A17">
        <v>7</v>
      </c>
      <c r="B17">
        <v>215000</v>
      </c>
      <c r="C17">
        <v>2275000</v>
      </c>
      <c r="D17">
        <f t="shared" si="0"/>
        <v>0.86000000000000032</v>
      </c>
      <c r="E17">
        <f t="shared" si="1"/>
        <v>85222.84</v>
      </c>
      <c r="F17">
        <f t="shared" si="2"/>
        <v>-470319.98</v>
      </c>
      <c r="G17">
        <f t="shared" si="3"/>
        <v>0.73960000000000059</v>
      </c>
      <c r="H17">
        <f t="shared" si="4"/>
        <v>7262932457.6655998</v>
      </c>
      <c r="I17">
        <f t="shared" si="5"/>
        <v>221200883587.20038</v>
      </c>
      <c r="J17">
        <f t="shared" si="6"/>
        <v>-404475.18280000013</v>
      </c>
      <c r="K17">
        <f t="shared" si="7"/>
        <v>-40082004404.343193</v>
      </c>
    </row>
    <row r="18" spans="1:11" x14ac:dyDescent="0.2">
      <c r="A18">
        <v>6</v>
      </c>
      <c r="B18">
        <v>125000</v>
      </c>
      <c r="C18">
        <v>2618999</v>
      </c>
      <c r="D18">
        <f t="shared" si="0"/>
        <v>-0.13999999999999968</v>
      </c>
      <c r="E18">
        <f t="shared" si="1"/>
        <v>-4777.1600000000035</v>
      </c>
      <c r="F18">
        <f t="shared" si="2"/>
        <v>-126320.97999999998</v>
      </c>
      <c r="G18">
        <f t="shared" si="3"/>
        <v>1.9599999999999909E-2</v>
      </c>
      <c r="H18">
        <f t="shared" si="4"/>
        <v>22821257.665600032</v>
      </c>
      <c r="I18">
        <f t="shared" si="5"/>
        <v>15956989988.160395</v>
      </c>
      <c r="J18">
        <f t="shared" si="6"/>
        <v>17684.937199999957</v>
      </c>
      <c r="K18">
        <f t="shared" si="7"/>
        <v>603455532.81680036</v>
      </c>
    </row>
    <row r="19" spans="1:11" x14ac:dyDescent="0.2">
      <c r="A19">
        <v>6</v>
      </c>
      <c r="B19">
        <v>98600</v>
      </c>
      <c r="C19">
        <v>2325000</v>
      </c>
      <c r="D19">
        <f t="shared" si="0"/>
        <v>-0.13999999999999968</v>
      </c>
      <c r="E19">
        <f t="shared" si="1"/>
        <v>-31177.160000000003</v>
      </c>
      <c r="F19">
        <f t="shared" si="2"/>
        <v>-420319.98</v>
      </c>
      <c r="G19">
        <f t="shared" si="3"/>
        <v>1.9599999999999909E-2</v>
      </c>
      <c r="H19">
        <f t="shared" si="4"/>
        <v>972015305.66560018</v>
      </c>
      <c r="I19">
        <f t="shared" si="5"/>
        <v>176668885587.20038</v>
      </c>
      <c r="J19">
        <f t="shared" si="6"/>
        <v>58844.797199999863</v>
      </c>
      <c r="K19">
        <f t="shared" si="7"/>
        <v>13104383267.656801</v>
      </c>
    </row>
    <row r="20" spans="1:11" x14ac:dyDescent="0.2">
      <c r="A20">
        <v>6</v>
      </c>
      <c r="B20">
        <v>99000</v>
      </c>
      <c r="C20">
        <v>2750000</v>
      </c>
      <c r="D20">
        <f t="shared" si="0"/>
        <v>-0.13999999999999968</v>
      </c>
      <c r="E20">
        <f t="shared" si="1"/>
        <v>-30777.160000000003</v>
      </c>
      <c r="F20">
        <f t="shared" si="2"/>
        <v>4680.0200000000186</v>
      </c>
      <c r="G20">
        <f t="shared" si="3"/>
        <v>1.9599999999999909E-2</v>
      </c>
      <c r="H20">
        <f t="shared" si="4"/>
        <v>947233577.66560018</v>
      </c>
      <c r="I20">
        <f t="shared" si="5"/>
        <v>21902587.200400174</v>
      </c>
      <c r="J20">
        <f t="shared" si="6"/>
        <v>-655.20280000000116</v>
      </c>
      <c r="K20">
        <f t="shared" si="7"/>
        <v>-144037724.34320059</v>
      </c>
    </row>
    <row r="21" spans="1:11" x14ac:dyDescent="0.2">
      <c r="A21">
        <v>13</v>
      </c>
      <c r="B21">
        <v>275000</v>
      </c>
      <c r="C21">
        <v>1275000</v>
      </c>
      <c r="D21">
        <f t="shared" si="0"/>
        <v>6.86</v>
      </c>
      <c r="E21">
        <f t="shared" si="1"/>
        <v>145222.84</v>
      </c>
      <c r="F21">
        <f t="shared" si="2"/>
        <v>-1470319.98</v>
      </c>
      <c r="G21">
        <f t="shared" si="3"/>
        <v>47.059600000000003</v>
      </c>
      <c r="H21">
        <f t="shared" si="4"/>
        <v>21089673257.6656</v>
      </c>
      <c r="I21">
        <f t="shared" si="5"/>
        <v>2161840843587.2004</v>
      </c>
      <c r="J21">
        <f t="shared" si="6"/>
        <v>-10086395.062799999</v>
      </c>
      <c r="K21">
        <f t="shared" si="7"/>
        <v>-213524043204.3432</v>
      </c>
    </row>
    <row r="22" spans="1:11" x14ac:dyDescent="0.2">
      <c r="A22">
        <v>6</v>
      </c>
      <c r="B22">
        <v>145000</v>
      </c>
      <c r="C22">
        <v>2675000</v>
      </c>
      <c r="D22">
        <f t="shared" si="0"/>
        <v>-0.13999999999999968</v>
      </c>
      <c r="E22">
        <f t="shared" si="1"/>
        <v>15222.839999999997</v>
      </c>
      <c r="F22">
        <f t="shared" si="2"/>
        <v>-70319.979999999981</v>
      </c>
      <c r="G22">
        <f t="shared" si="3"/>
        <v>1.9599999999999909E-2</v>
      </c>
      <c r="H22">
        <f t="shared" si="4"/>
        <v>231734857.66559988</v>
      </c>
      <c r="I22">
        <f t="shared" si="5"/>
        <v>4944899587.2003975</v>
      </c>
      <c r="J22">
        <f t="shared" si="6"/>
        <v>9844.7971999999754</v>
      </c>
      <c r="K22">
        <f t="shared" si="7"/>
        <v>-1070469804.3431995</v>
      </c>
    </row>
    <row r="23" spans="1:11" x14ac:dyDescent="0.2">
      <c r="A23">
        <v>14</v>
      </c>
      <c r="B23">
        <v>515000</v>
      </c>
      <c r="C23">
        <v>1000000</v>
      </c>
      <c r="D23">
        <f t="shared" si="0"/>
        <v>7.86</v>
      </c>
      <c r="E23">
        <f t="shared" si="1"/>
        <v>385222.83999999997</v>
      </c>
      <c r="F23">
        <f t="shared" si="2"/>
        <v>-1745319.98</v>
      </c>
      <c r="G23">
        <f t="shared" si="3"/>
        <v>61.779600000000002</v>
      </c>
      <c r="H23">
        <f t="shared" si="4"/>
        <v>148396636457.66559</v>
      </c>
      <c r="I23">
        <f t="shared" si="5"/>
        <v>3046141832587.2002</v>
      </c>
      <c r="J23">
        <f t="shared" si="6"/>
        <v>-13718215.0428</v>
      </c>
      <c r="K23">
        <f t="shared" si="7"/>
        <v>-672337119404.34314</v>
      </c>
    </row>
    <row r="24" spans="1:11" x14ac:dyDescent="0.2">
      <c r="A24">
        <v>6</v>
      </c>
      <c r="B24">
        <v>120000</v>
      </c>
      <c r="C24">
        <v>2850000</v>
      </c>
      <c r="D24">
        <f t="shared" si="0"/>
        <v>-0.13999999999999968</v>
      </c>
      <c r="E24">
        <f t="shared" si="1"/>
        <v>-9777.1600000000035</v>
      </c>
      <c r="F24">
        <f t="shared" si="2"/>
        <v>104680.02000000002</v>
      </c>
      <c r="G24">
        <f t="shared" si="3"/>
        <v>1.9599999999999909E-2</v>
      </c>
      <c r="H24">
        <f t="shared" si="4"/>
        <v>95592857.665600061</v>
      </c>
      <c r="I24">
        <f t="shared" si="5"/>
        <v>10957906587.200403</v>
      </c>
      <c r="J24">
        <f t="shared" si="6"/>
        <v>-14655.20279999997</v>
      </c>
      <c r="K24">
        <f t="shared" si="7"/>
        <v>-1023473304.3432006</v>
      </c>
    </row>
    <row r="25" spans="1:11" x14ac:dyDescent="0.2">
      <c r="A25">
        <v>6</v>
      </c>
      <c r="B25">
        <v>163000</v>
      </c>
      <c r="C25">
        <v>2540000</v>
      </c>
      <c r="D25">
        <f t="shared" si="0"/>
        <v>-0.13999999999999968</v>
      </c>
      <c r="E25">
        <f t="shared" si="1"/>
        <v>33222.839999999997</v>
      </c>
      <c r="F25">
        <f t="shared" si="2"/>
        <v>-205319.97999999998</v>
      </c>
      <c r="G25">
        <f t="shared" si="3"/>
        <v>1.9599999999999909E-2</v>
      </c>
      <c r="H25">
        <f t="shared" si="4"/>
        <v>1103757097.6655998</v>
      </c>
      <c r="I25">
        <f t="shared" si="5"/>
        <v>42156294187.200394</v>
      </c>
      <c r="J25">
        <f t="shared" si="6"/>
        <v>28744.797199999932</v>
      </c>
      <c r="K25">
        <f t="shared" si="7"/>
        <v>-6821312844.3431988</v>
      </c>
    </row>
    <row r="26" spans="1:11" x14ac:dyDescent="0.2">
      <c r="A26">
        <v>6</v>
      </c>
      <c r="B26">
        <v>83000</v>
      </c>
      <c r="C26">
        <v>2850000</v>
      </c>
      <c r="D26">
        <f t="shared" si="0"/>
        <v>-0.13999999999999968</v>
      </c>
      <c r="E26">
        <f t="shared" si="1"/>
        <v>-46777.16</v>
      </c>
      <c r="F26">
        <f t="shared" si="2"/>
        <v>104680.02000000002</v>
      </c>
      <c r="G26">
        <f t="shared" si="3"/>
        <v>1.9599999999999909E-2</v>
      </c>
      <c r="H26">
        <f t="shared" si="4"/>
        <v>2188102697.6656003</v>
      </c>
      <c r="I26">
        <f t="shared" si="5"/>
        <v>10957906587.200403</v>
      </c>
      <c r="J26">
        <f t="shared" si="6"/>
        <v>-14655.20279999997</v>
      </c>
      <c r="K26">
        <f t="shared" si="7"/>
        <v>-4896634044.3432016</v>
      </c>
    </row>
    <row r="27" spans="1:11" x14ac:dyDescent="0.2">
      <c r="A27">
        <v>3</v>
      </c>
      <c r="B27">
        <v>34000</v>
      </c>
      <c r="C27">
        <v>4200000</v>
      </c>
      <c r="D27">
        <f t="shared" si="0"/>
        <v>-3.1399999999999997</v>
      </c>
      <c r="E27">
        <f t="shared" si="1"/>
        <v>-95777.16</v>
      </c>
      <c r="F27">
        <f t="shared" si="2"/>
        <v>1454680.02</v>
      </c>
      <c r="G27">
        <f t="shared" si="3"/>
        <v>9.8595999999999986</v>
      </c>
      <c r="H27">
        <f t="shared" si="4"/>
        <v>9173264377.6655998</v>
      </c>
      <c r="I27">
        <f t="shared" si="5"/>
        <v>2116093960587.2004</v>
      </c>
      <c r="J27">
        <f t="shared" si="6"/>
        <v>-4567695.2627999997</v>
      </c>
      <c r="K27">
        <f t="shared" si="7"/>
        <v>-139325121024.3432</v>
      </c>
    </row>
    <row r="28" spans="1:11" x14ac:dyDescent="0.2">
      <c r="A28">
        <v>3</v>
      </c>
      <c r="B28">
        <v>103000</v>
      </c>
      <c r="C28">
        <v>3475000</v>
      </c>
      <c r="D28">
        <f t="shared" si="0"/>
        <v>-3.1399999999999997</v>
      </c>
      <c r="E28">
        <f t="shared" si="1"/>
        <v>-26777.160000000003</v>
      </c>
      <c r="F28">
        <f t="shared" si="2"/>
        <v>729680.02</v>
      </c>
      <c r="G28">
        <f t="shared" si="3"/>
        <v>9.8595999999999986</v>
      </c>
      <c r="H28">
        <f t="shared" si="4"/>
        <v>717016297.66560018</v>
      </c>
      <c r="I28">
        <f t="shared" si="5"/>
        <v>532432931587.20044</v>
      </c>
      <c r="J28">
        <f t="shared" si="6"/>
        <v>-2291195.2627999997</v>
      </c>
      <c r="K28">
        <f t="shared" si="7"/>
        <v>-19538758644.343204</v>
      </c>
    </row>
    <row r="29" spans="1:11" x14ac:dyDescent="0.2">
      <c r="A29">
        <v>7</v>
      </c>
      <c r="B29">
        <v>210000</v>
      </c>
      <c r="C29">
        <v>2435000</v>
      </c>
      <c r="D29">
        <f t="shared" si="0"/>
        <v>0.86000000000000032</v>
      </c>
      <c r="E29">
        <f t="shared" si="1"/>
        <v>80222.84</v>
      </c>
      <c r="F29">
        <f t="shared" si="2"/>
        <v>-310319.98</v>
      </c>
      <c r="G29">
        <f t="shared" si="3"/>
        <v>0.73960000000000059</v>
      </c>
      <c r="H29">
        <f t="shared" si="4"/>
        <v>6435704057.6655998</v>
      </c>
      <c r="I29">
        <f t="shared" si="5"/>
        <v>96298489987.200394</v>
      </c>
      <c r="J29">
        <f t="shared" si="6"/>
        <v>-266875.18280000007</v>
      </c>
      <c r="K29">
        <f t="shared" si="7"/>
        <v>-24894750104.343197</v>
      </c>
    </row>
    <row r="30" spans="1:11" x14ac:dyDescent="0.2">
      <c r="A30">
        <v>7</v>
      </c>
      <c r="B30">
        <v>114000</v>
      </c>
      <c r="C30">
        <v>2675000</v>
      </c>
      <c r="D30">
        <f t="shared" si="0"/>
        <v>0.86000000000000032</v>
      </c>
      <c r="E30">
        <f t="shared" si="1"/>
        <v>-15777.160000000003</v>
      </c>
      <c r="F30">
        <f t="shared" si="2"/>
        <v>-70319.979999999981</v>
      </c>
      <c r="G30">
        <f t="shared" si="3"/>
        <v>0.73960000000000059</v>
      </c>
      <c r="H30">
        <f t="shared" si="4"/>
        <v>248918777.66560012</v>
      </c>
      <c r="I30">
        <f t="shared" si="5"/>
        <v>4944899587.2003975</v>
      </c>
      <c r="J30">
        <f t="shared" si="6"/>
        <v>-60475.18280000001</v>
      </c>
      <c r="K30">
        <f t="shared" si="7"/>
        <v>1109449575.6568</v>
      </c>
    </row>
    <row r="31" spans="1:11" x14ac:dyDescent="0.2">
      <c r="A31">
        <v>6</v>
      </c>
      <c r="B31">
        <v>173000</v>
      </c>
      <c r="C31">
        <v>2450000</v>
      </c>
      <c r="D31">
        <f t="shared" si="0"/>
        <v>-0.13999999999999968</v>
      </c>
      <c r="E31">
        <f t="shared" si="1"/>
        <v>43222.84</v>
      </c>
      <c r="F31">
        <f t="shared" si="2"/>
        <v>-295319.98</v>
      </c>
      <c r="G31">
        <f t="shared" si="3"/>
        <v>1.9599999999999909E-2</v>
      </c>
      <c r="H31">
        <f t="shared" si="4"/>
        <v>1868213897.6655996</v>
      </c>
      <c r="I31">
        <f t="shared" si="5"/>
        <v>87213890587.200394</v>
      </c>
      <c r="J31">
        <f t="shared" si="6"/>
        <v>41344.797199999906</v>
      </c>
      <c r="K31">
        <f t="shared" si="7"/>
        <v>-12764568244.343199</v>
      </c>
    </row>
    <row r="32" spans="1:11" x14ac:dyDescent="0.2">
      <c r="A32">
        <v>7</v>
      </c>
      <c r="B32">
        <v>159000</v>
      </c>
      <c r="C32">
        <v>2543000</v>
      </c>
      <c r="D32">
        <f t="shared" si="0"/>
        <v>0.86000000000000032</v>
      </c>
      <c r="E32">
        <f t="shared" si="1"/>
        <v>29222.839999999997</v>
      </c>
      <c r="F32">
        <f t="shared" si="2"/>
        <v>-202319.97999999998</v>
      </c>
      <c r="G32">
        <f t="shared" si="3"/>
        <v>0.73960000000000059</v>
      </c>
      <c r="H32">
        <f t="shared" si="4"/>
        <v>853974377.66559982</v>
      </c>
      <c r="I32">
        <f t="shared" si="5"/>
        <v>40933374307.200394</v>
      </c>
      <c r="J32">
        <f t="shared" si="6"/>
        <v>-173995.18280000004</v>
      </c>
      <c r="K32">
        <f t="shared" si="7"/>
        <v>-5912364404.3431988</v>
      </c>
    </row>
    <row r="33" spans="1:11" x14ac:dyDescent="0.2">
      <c r="A33">
        <v>6</v>
      </c>
      <c r="B33">
        <v>245000</v>
      </c>
      <c r="C33">
        <v>2350000</v>
      </c>
      <c r="D33">
        <f t="shared" si="0"/>
        <v>-0.13999999999999968</v>
      </c>
      <c r="E33">
        <f t="shared" si="1"/>
        <v>115222.84</v>
      </c>
      <c r="F33">
        <f t="shared" si="2"/>
        <v>-395319.98</v>
      </c>
      <c r="G33">
        <f t="shared" si="3"/>
        <v>1.9599999999999909E-2</v>
      </c>
      <c r="H33">
        <f t="shared" si="4"/>
        <v>13276302857.6656</v>
      </c>
      <c r="I33">
        <f t="shared" si="5"/>
        <v>156277886587.20038</v>
      </c>
      <c r="J33">
        <f t="shared" si="6"/>
        <v>55344.79719999987</v>
      </c>
      <c r="K33">
        <f t="shared" si="7"/>
        <v>-45549890804.343193</v>
      </c>
    </row>
    <row r="34" spans="1:11" x14ac:dyDescent="0.2">
      <c r="A34">
        <v>11</v>
      </c>
      <c r="B34">
        <v>195000</v>
      </c>
      <c r="C34">
        <v>1300000</v>
      </c>
      <c r="D34">
        <f t="shared" si="0"/>
        <v>4.8600000000000003</v>
      </c>
      <c r="E34">
        <f t="shared" si="1"/>
        <v>65222.84</v>
      </c>
      <c r="F34">
        <f t="shared" si="2"/>
        <v>-1445319.98</v>
      </c>
      <c r="G34">
        <f t="shared" si="3"/>
        <v>23.619600000000002</v>
      </c>
      <c r="H34">
        <f t="shared" si="4"/>
        <v>4254018857.6655993</v>
      </c>
      <c r="I34">
        <f t="shared" si="5"/>
        <v>2088949844587.2004</v>
      </c>
      <c r="J34">
        <f t="shared" si="6"/>
        <v>-7024255.1028000005</v>
      </c>
      <c r="K34">
        <f t="shared" si="7"/>
        <v>-94267873804.343201</v>
      </c>
    </row>
    <row r="35" spans="1:11" x14ac:dyDescent="0.2">
      <c r="A35">
        <v>6</v>
      </c>
      <c r="B35">
        <v>115000</v>
      </c>
      <c r="C35">
        <v>2815000</v>
      </c>
      <c r="D35">
        <f t="shared" si="0"/>
        <v>-0.13999999999999968</v>
      </c>
      <c r="E35">
        <f t="shared" si="1"/>
        <v>-14777.160000000003</v>
      </c>
      <c r="F35">
        <f t="shared" si="2"/>
        <v>69680.020000000019</v>
      </c>
      <c r="G35">
        <f t="shared" si="3"/>
        <v>1.9599999999999909E-2</v>
      </c>
      <c r="H35">
        <f t="shared" si="4"/>
        <v>218364457.66560009</v>
      </c>
      <c r="I35">
        <f t="shared" si="5"/>
        <v>4855305187.2004023</v>
      </c>
      <c r="J35">
        <f t="shared" si="6"/>
        <v>-9755.2027999999809</v>
      </c>
      <c r="K35">
        <f t="shared" si="7"/>
        <v>-1029672804.3432006</v>
      </c>
    </row>
    <row r="36" spans="1:11" x14ac:dyDescent="0.2">
      <c r="A36">
        <v>10</v>
      </c>
      <c r="B36">
        <v>173000</v>
      </c>
      <c r="C36">
        <v>1950000</v>
      </c>
      <c r="D36">
        <f t="shared" si="0"/>
        <v>3.8600000000000003</v>
      </c>
      <c r="E36">
        <f t="shared" si="1"/>
        <v>43222.84</v>
      </c>
      <c r="F36">
        <f t="shared" si="2"/>
        <v>-795319.98</v>
      </c>
      <c r="G36">
        <f t="shared" si="3"/>
        <v>14.899600000000003</v>
      </c>
      <c r="H36">
        <f t="shared" si="4"/>
        <v>1868213897.6655996</v>
      </c>
      <c r="I36">
        <f t="shared" si="5"/>
        <v>632533870587.20032</v>
      </c>
      <c r="J36">
        <f t="shared" si="6"/>
        <v>-3069935.1228</v>
      </c>
      <c r="K36">
        <f t="shared" si="7"/>
        <v>-34375988244.343193</v>
      </c>
    </row>
    <row r="37" spans="1:11" x14ac:dyDescent="0.2">
      <c r="A37">
        <v>5</v>
      </c>
      <c r="B37">
        <v>119000</v>
      </c>
      <c r="C37">
        <v>2530000</v>
      </c>
      <c r="D37">
        <f t="shared" si="0"/>
        <v>-1.1399999999999997</v>
      </c>
      <c r="E37">
        <f t="shared" si="1"/>
        <v>-10777.160000000003</v>
      </c>
      <c r="F37">
        <f t="shared" si="2"/>
        <v>-215319.97999999998</v>
      </c>
      <c r="G37">
        <f t="shared" si="3"/>
        <v>1.2995999999999992</v>
      </c>
      <c r="H37">
        <f t="shared" si="4"/>
        <v>116147177.66560008</v>
      </c>
      <c r="I37">
        <f t="shared" si="5"/>
        <v>46362693787.200394</v>
      </c>
      <c r="J37">
        <f t="shared" si="6"/>
        <v>245464.77719999992</v>
      </c>
      <c r="K37">
        <f t="shared" si="7"/>
        <v>2320537875.6568007</v>
      </c>
    </row>
    <row r="38" spans="1:11" x14ac:dyDescent="0.2">
      <c r="A38">
        <v>6</v>
      </c>
      <c r="B38">
        <v>80000</v>
      </c>
      <c r="C38">
        <v>2879000</v>
      </c>
      <c r="D38">
        <f t="shared" si="0"/>
        <v>-0.13999999999999968</v>
      </c>
      <c r="E38">
        <f t="shared" si="1"/>
        <v>-49777.16</v>
      </c>
      <c r="F38">
        <f t="shared" si="2"/>
        <v>133680.02000000002</v>
      </c>
      <c r="G38">
        <f t="shared" si="3"/>
        <v>1.9599999999999909E-2</v>
      </c>
      <c r="H38">
        <f t="shared" si="4"/>
        <v>2477765657.6656003</v>
      </c>
      <c r="I38">
        <f t="shared" si="5"/>
        <v>17870347747.200405</v>
      </c>
      <c r="J38">
        <f t="shared" si="6"/>
        <v>-18715.202799999959</v>
      </c>
      <c r="K38">
        <f t="shared" si="7"/>
        <v>-6654211744.3432016</v>
      </c>
    </row>
    <row r="39" spans="1:11" x14ac:dyDescent="0.2">
      <c r="A39">
        <v>4</v>
      </c>
      <c r="B39">
        <v>81000</v>
      </c>
      <c r="C39">
        <v>3020000</v>
      </c>
      <c r="D39">
        <f t="shared" si="0"/>
        <v>-2.1399999999999997</v>
      </c>
      <c r="E39">
        <f t="shared" si="1"/>
        <v>-48777.16</v>
      </c>
      <c r="F39">
        <f t="shared" si="2"/>
        <v>274680.02</v>
      </c>
      <c r="G39">
        <f t="shared" si="3"/>
        <v>4.5795999999999983</v>
      </c>
      <c r="H39">
        <f t="shared" si="4"/>
        <v>2379211337.6656003</v>
      </c>
      <c r="I39">
        <f t="shared" si="5"/>
        <v>75449113387.200409</v>
      </c>
      <c r="J39">
        <f t="shared" si="6"/>
        <v>-587815.24280000001</v>
      </c>
      <c r="K39">
        <f t="shared" si="7"/>
        <v>-13398111284.343203</v>
      </c>
    </row>
    <row r="40" spans="1:11" x14ac:dyDescent="0.2">
      <c r="A40">
        <v>7</v>
      </c>
      <c r="B40">
        <v>65000</v>
      </c>
      <c r="C40">
        <v>2910000</v>
      </c>
      <c r="D40">
        <f t="shared" si="0"/>
        <v>0.86000000000000032</v>
      </c>
      <c r="E40">
        <f t="shared" si="1"/>
        <v>-64777.16</v>
      </c>
      <c r="F40">
        <f t="shared" si="2"/>
        <v>164680.02000000002</v>
      </c>
      <c r="G40">
        <f t="shared" si="3"/>
        <v>0.73960000000000059</v>
      </c>
      <c r="H40">
        <f t="shared" si="4"/>
        <v>4196080457.6656003</v>
      </c>
      <c r="I40">
        <f t="shared" si="5"/>
        <v>27119508987.200405</v>
      </c>
      <c r="J40">
        <f t="shared" si="6"/>
        <v>141624.81720000008</v>
      </c>
      <c r="K40">
        <f t="shared" si="7"/>
        <v>-10667504004.343203</v>
      </c>
    </row>
    <row r="41" spans="1:11" x14ac:dyDescent="0.2">
      <c r="A41">
        <v>3</v>
      </c>
      <c r="B41">
        <v>82000</v>
      </c>
      <c r="C41">
        <v>3800000</v>
      </c>
      <c r="D41">
        <f t="shared" si="0"/>
        <v>-3.1399999999999997</v>
      </c>
      <c r="E41">
        <f t="shared" si="1"/>
        <v>-47777.16</v>
      </c>
      <c r="F41">
        <f t="shared" si="2"/>
        <v>1054680.02</v>
      </c>
      <c r="G41">
        <f t="shared" si="3"/>
        <v>9.8595999999999986</v>
      </c>
      <c r="H41">
        <f t="shared" si="4"/>
        <v>2282657017.6656003</v>
      </c>
      <c r="I41">
        <f t="shared" si="5"/>
        <v>1112349944587.2004</v>
      </c>
      <c r="J41">
        <f t="shared" si="6"/>
        <v>-3311695.2627999997</v>
      </c>
      <c r="K41">
        <f t="shared" si="7"/>
        <v>-50389616064.343208</v>
      </c>
    </row>
    <row r="42" spans="1:11" x14ac:dyDescent="0.2">
      <c r="A42">
        <v>5</v>
      </c>
      <c r="B42">
        <v>60000</v>
      </c>
      <c r="C42">
        <v>3100000</v>
      </c>
      <c r="D42">
        <f t="shared" si="0"/>
        <v>-1.1399999999999997</v>
      </c>
      <c r="E42">
        <f t="shared" si="1"/>
        <v>-69777.16</v>
      </c>
      <c r="F42">
        <f t="shared" si="2"/>
        <v>354680.02</v>
      </c>
      <c r="G42">
        <f t="shared" si="3"/>
        <v>1.2995999999999992</v>
      </c>
      <c r="H42">
        <f t="shared" si="4"/>
        <v>4868852057.6656008</v>
      </c>
      <c r="I42">
        <f t="shared" si="5"/>
        <v>125797916587.20041</v>
      </c>
      <c r="J42">
        <f t="shared" si="6"/>
        <v>-404335.22279999993</v>
      </c>
      <c r="K42">
        <f t="shared" si="7"/>
        <v>-24748564504.343201</v>
      </c>
    </row>
    <row r="43" spans="1:11" x14ac:dyDescent="0.2">
      <c r="A43">
        <v>2</v>
      </c>
      <c r="B43">
        <v>50000</v>
      </c>
      <c r="C43">
        <v>3380000</v>
      </c>
      <c r="D43">
        <f t="shared" si="0"/>
        <v>-4.1399999999999997</v>
      </c>
      <c r="E43">
        <f t="shared" si="1"/>
        <v>-79777.16</v>
      </c>
      <c r="F43">
        <f t="shared" si="2"/>
        <v>634680.02</v>
      </c>
      <c r="G43">
        <f t="shared" si="3"/>
        <v>17.139599999999998</v>
      </c>
      <c r="H43">
        <f t="shared" si="4"/>
        <v>6364395257.6656008</v>
      </c>
      <c r="I43">
        <f t="shared" si="5"/>
        <v>402818727787.20044</v>
      </c>
      <c r="J43">
        <f t="shared" si="6"/>
        <v>-2627575.2827999997</v>
      </c>
      <c r="K43">
        <f t="shared" si="7"/>
        <v>-50632969504.343201</v>
      </c>
    </row>
    <row r="44" spans="1:11" x14ac:dyDescent="0.2">
      <c r="A44">
        <v>6</v>
      </c>
      <c r="B44">
        <v>130000</v>
      </c>
      <c r="C44">
        <v>2990000</v>
      </c>
      <c r="D44">
        <f t="shared" si="0"/>
        <v>-0.13999999999999968</v>
      </c>
      <c r="E44">
        <f t="shared" si="1"/>
        <v>222.83999999999651</v>
      </c>
      <c r="F44">
        <f t="shared" si="2"/>
        <v>244680.02000000002</v>
      </c>
      <c r="G44">
        <f t="shared" si="3"/>
        <v>1.9599999999999909E-2</v>
      </c>
      <c r="H44">
        <f t="shared" si="4"/>
        <v>49657.665599998443</v>
      </c>
      <c r="I44">
        <f t="shared" si="5"/>
        <v>59868312187.200409</v>
      </c>
      <c r="J44">
        <f t="shared" si="6"/>
        <v>-34255.202799999926</v>
      </c>
      <c r="K44">
        <f t="shared" si="7"/>
        <v>54524495.656799152</v>
      </c>
    </row>
    <row r="45" spans="1:11" x14ac:dyDescent="0.2">
      <c r="A45">
        <v>7</v>
      </c>
      <c r="B45">
        <v>102000</v>
      </c>
      <c r="C45">
        <v>2670000</v>
      </c>
      <c r="D45">
        <f t="shared" si="0"/>
        <v>0.86000000000000032</v>
      </c>
      <c r="E45">
        <f t="shared" si="1"/>
        <v>-27777.160000000003</v>
      </c>
      <c r="F45">
        <f t="shared" si="2"/>
        <v>-75319.979999999981</v>
      </c>
      <c r="G45">
        <f t="shared" si="3"/>
        <v>0.73960000000000059</v>
      </c>
      <c r="H45">
        <f t="shared" si="4"/>
        <v>771570617.66560018</v>
      </c>
      <c r="I45">
        <f t="shared" si="5"/>
        <v>5673099387.2003975</v>
      </c>
      <c r="J45">
        <f t="shared" si="6"/>
        <v>-64775.18280000001</v>
      </c>
      <c r="K45">
        <f t="shared" si="7"/>
        <v>2092175135.6567998</v>
      </c>
    </row>
    <row r="46" spans="1:11" x14ac:dyDescent="0.2">
      <c r="A46">
        <v>6</v>
      </c>
      <c r="B46">
        <v>126000</v>
      </c>
      <c r="C46">
        <v>2900000</v>
      </c>
      <c r="D46">
        <f t="shared" si="0"/>
        <v>-0.13999999999999968</v>
      </c>
      <c r="E46">
        <f t="shared" si="1"/>
        <v>-3777.1600000000035</v>
      </c>
      <c r="F46">
        <f t="shared" si="2"/>
        <v>154680.02000000002</v>
      </c>
      <c r="G46">
        <f t="shared" si="3"/>
        <v>1.9599999999999909E-2</v>
      </c>
      <c r="H46">
        <f t="shared" si="4"/>
        <v>14266937.665600026</v>
      </c>
      <c r="I46">
        <f t="shared" si="5"/>
        <v>23925908587.200405</v>
      </c>
      <c r="J46">
        <f t="shared" si="6"/>
        <v>-21655.202799999952</v>
      </c>
      <c r="K46">
        <f t="shared" si="7"/>
        <v>-584251184.34320056</v>
      </c>
    </row>
    <row r="47" spans="1:11" x14ac:dyDescent="0.2">
      <c r="A47">
        <v>7</v>
      </c>
      <c r="B47">
        <v>156500</v>
      </c>
      <c r="C47">
        <v>2535000</v>
      </c>
      <c r="D47">
        <f t="shared" si="0"/>
        <v>0.86000000000000032</v>
      </c>
      <c r="E47">
        <f t="shared" si="1"/>
        <v>26722.839999999997</v>
      </c>
      <c r="F47">
        <f t="shared" si="2"/>
        <v>-210319.97999999998</v>
      </c>
      <c r="G47">
        <f t="shared" si="3"/>
        <v>0.73960000000000059</v>
      </c>
      <c r="H47">
        <f t="shared" si="4"/>
        <v>714110177.66559982</v>
      </c>
      <c r="I47">
        <f t="shared" si="5"/>
        <v>44234493987.200394</v>
      </c>
      <c r="J47">
        <f t="shared" si="6"/>
        <v>-180875.18280000004</v>
      </c>
      <c r="K47">
        <f t="shared" si="7"/>
        <v>-5620347174.3431988</v>
      </c>
    </row>
    <row r="48" spans="1:11" x14ac:dyDescent="0.2">
      <c r="A48">
        <v>6</v>
      </c>
      <c r="B48">
        <v>92000</v>
      </c>
      <c r="C48">
        <v>2970000</v>
      </c>
      <c r="D48">
        <f t="shared" si="0"/>
        <v>-0.13999999999999968</v>
      </c>
      <c r="E48">
        <f t="shared" si="1"/>
        <v>-37777.160000000003</v>
      </c>
      <c r="F48">
        <f t="shared" si="2"/>
        <v>224680.02000000002</v>
      </c>
      <c r="G48">
        <f t="shared" si="3"/>
        <v>1.9599999999999909E-2</v>
      </c>
      <c r="H48">
        <f t="shared" si="4"/>
        <v>1427113817.6656003</v>
      </c>
      <c r="I48">
        <f t="shared" si="5"/>
        <v>50481111387.200409</v>
      </c>
      <c r="J48">
        <f t="shared" si="6"/>
        <v>-31455.20279999993</v>
      </c>
      <c r="K48">
        <f t="shared" si="7"/>
        <v>-8487773064.3432016</v>
      </c>
    </row>
    <row r="49" spans="1:11" x14ac:dyDescent="0.2">
      <c r="A49">
        <v>4</v>
      </c>
      <c r="B49">
        <v>142500</v>
      </c>
      <c r="C49">
        <v>3065000</v>
      </c>
      <c r="D49">
        <f t="shared" si="0"/>
        <v>-2.1399999999999997</v>
      </c>
      <c r="E49">
        <f t="shared" si="1"/>
        <v>12722.839999999997</v>
      </c>
      <c r="F49">
        <f t="shared" si="2"/>
        <v>319680.02</v>
      </c>
      <c r="G49">
        <f t="shared" si="3"/>
        <v>4.5795999999999983</v>
      </c>
      <c r="H49">
        <f t="shared" si="4"/>
        <v>161870657.66559991</v>
      </c>
      <c r="I49">
        <f t="shared" si="5"/>
        <v>102195315187.20041</v>
      </c>
      <c r="J49">
        <f t="shared" si="6"/>
        <v>-684115.24279999989</v>
      </c>
      <c r="K49">
        <f t="shared" si="7"/>
        <v>4067237745.6567993</v>
      </c>
    </row>
    <row r="50" spans="1:11" x14ac:dyDescent="0.2">
      <c r="A50">
        <v>3</v>
      </c>
      <c r="B50">
        <v>89000</v>
      </c>
      <c r="C50">
        <v>2865000</v>
      </c>
      <c r="D50">
        <f t="shared" si="0"/>
        <v>-3.1399999999999997</v>
      </c>
      <c r="E50">
        <f t="shared" si="1"/>
        <v>-40777.160000000003</v>
      </c>
      <c r="F50">
        <f t="shared" si="2"/>
        <v>119680.02000000002</v>
      </c>
      <c r="G50">
        <f t="shared" si="3"/>
        <v>9.8595999999999986</v>
      </c>
      <c r="H50">
        <f t="shared" si="4"/>
        <v>1662776777.6656003</v>
      </c>
      <c r="I50">
        <f t="shared" si="5"/>
        <v>14323307187.200405</v>
      </c>
      <c r="J50">
        <f t="shared" si="6"/>
        <v>-375795.26280000003</v>
      </c>
      <c r="K50">
        <f t="shared" si="7"/>
        <v>-4880211324.3432016</v>
      </c>
    </row>
    <row r="51" spans="1:11" x14ac:dyDescent="0.2">
      <c r="A51">
        <f>SUM(A1:A50)/50</f>
        <v>6.14</v>
      </c>
      <c r="B51">
        <f>SUM(B1:B50)/50</f>
        <v>129777.16</v>
      </c>
      <c r="C51">
        <f>SUM(C1:C50)/50</f>
        <v>2745319.98</v>
      </c>
      <c r="D51" t="s">
        <v>1</v>
      </c>
      <c r="E51" t="s">
        <v>0</v>
      </c>
      <c r="F51" t="s">
        <v>2</v>
      </c>
      <c r="G51" t="s">
        <v>4</v>
      </c>
      <c r="H51" t="s">
        <v>5</v>
      </c>
      <c r="I51" t="s">
        <v>6</v>
      </c>
      <c r="J51" t="s">
        <v>18</v>
      </c>
      <c r="K51" t="s">
        <v>19</v>
      </c>
    </row>
    <row r="54" spans="1:11" x14ac:dyDescent="0.2">
      <c r="F54" t="s">
        <v>3</v>
      </c>
      <c r="G54" t="s">
        <v>7</v>
      </c>
      <c r="H54" t="s">
        <v>8</v>
      </c>
      <c r="I54" t="s">
        <v>9</v>
      </c>
    </row>
    <row r="55" spans="1:11" x14ac:dyDescent="0.2">
      <c r="G55">
        <f>SUM(G1:G50)/49</f>
        <v>4.8983673469387741</v>
      </c>
      <c r="H55">
        <f>SUM(H1:H50)/49</f>
        <v>5963055177.1575451</v>
      </c>
      <c r="I55">
        <f>SUM(I1:I50)/49</f>
        <v>362862921074.30597</v>
      </c>
    </row>
    <row r="56" spans="1:11" x14ac:dyDescent="0.2">
      <c r="F56" t="s">
        <v>10</v>
      </c>
      <c r="G56" t="s">
        <v>11</v>
      </c>
      <c r="H56" t="s">
        <v>12</v>
      </c>
      <c r="I56" t="s">
        <v>13</v>
      </c>
    </row>
    <row r="57" spans="1:11" x14ac:dyDescent="0.2">
      <c r="G57">
        <f>SQRT(G55)</f>
        <v>2.2132255526581051</v>
      </c>
      <c r="H57">
        <f>SQRT(H55)</f>
        <v>77220.820878552855</v>
      </c>
      <c r="I57">
        <f>SQRT(I55)</f>
        <v>602381.04309009097</v>
      </c>
    </row>
    <row r="58" spans="1:11" x14ac:dyDescent="0.2">
      <c r="F58" t="s">
        <v>14</v>
      </c>
      <c r="G58" t="s">
        <v>15</v>
      </c>
      <c r="H58" t="s">
        <v>16</v>
      </c>
      <c r="I58" t="s">
        <v>17</v>
      </c>
    </row>
    <row r="59" spans="1:11" x14ac:dyDescent="0.2">
      <c r="G59">
        <f>G57/A51</f>
        <v>0.36046018772933308</v>
      </c>
      <c r="H59">
        <f>H57/B51</f>
        <v>0.59502628103861155</v>
      </c>
      <c r="I59">
        <f>I57/C51</f>
        <v>0.21942106839221379</v>
      </c>
    </row>
    <row r="60" spans="1:11" x14ac:dyDescent="0.2">
      <c r="F60" t="s">
        <v>20</v>
      </c>
      <c r="G60" t="s">
        <v>21</v>
      </c>
      <c r="H60" t="s">
        <v>22</v>
      </c>
    </row>
    <row r="61" spans="1:11" x14ac:dyDescent="0.2">
      <c r="G61">
        <f>SUM(J1:J50)/49</f>
        <v>-1125862.0379591836</v>
      </c>
      <c r="H61">
        <f>SUM(K1:K50)/49</f>
        <v>-37028075464.955948</v>
      </c>
    </row>
    <row r="62" spans="1:11" x14ac:dyDescent="0.2">
      <c r="F62" t="s">
        <v>23</v>
      </c>
      <c r="G62" t="s">
        <v>24</v>
      </c>
      <c r="H62" t="s">
        <v>25</v>
      </c>
    </row>
    <row r="63" spans="1:11" x14ac:dyDescent="0.2">
      <c r="G63">
        <f>G61/(G57*I57)</f>
        <v>-0.84447773534606607</v>
      </c>
      <c r="H63">
        <f>H61/(H57*I57)</f>
        <v>-0.7960226586135889</v>
      </c>
    </row>
    <row r="65" spans="6:7" x14ac:dyDescent="0.2">
      <c r="F65" t="s">
        <v>26</v>
      </c>
      <c r="G65">
        <f>C51-(G66*A51)</f>
        <v>4156564.2627281058</v>
      </c>
    </row>
    <row r="66" spans="6:7" x14ac:dyDescent="0.2">
      <c r="F66" t="s">
        <v>27</v>
      </c>
      <c r="G66">
        <f>G63*I57/G57</f>
        <v>-229844.34572118989</v>
      </c>
    </row>
    <row r="67" spans="6:7" x14ac:dyDescent="0.2">
      <c r="F67" t="s">
        <v>28</v>
      </c>
      <c r="G67">
        <f>C51-(G68*B51)</f>
        <v>3551181.7960226866</v>
      </c>
    </row>
    <row r="68" spans="6:7" x14ac:dyDescent="0.2">
      <c r="F68" t="s">
        <v>29</v>
      </c>
      <c r="G68">
        <f>H63*I57/H57</f>
        <v>-6.2095812238662544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14046-37C7-6542-969D-F4072D92CB7F}">
  <dimension ref="A1:B50"/>
  <sheetViews>
    <sheetView workbookViewId="0">
      <selection activeCell="B1" activeCellId="1" sqref="A1:A1048576 B1:B1048576"/>
    </sheetView>
  </sheetViews>
  <sheetFormatPr baseColWidth="10" defaultRowHeight="16" x14ac:dyDescent="0.2"/>
  <sheetData>
    <row r="1" spans="1:2" x14ac:dyDescent="0.2">
      <c r="A1">
        <v>100000</v>
      </c>
      <c r="B1">
        <v>2690000</v>
      </c>
    </row>
    <row r="2" spans="1:2" x14ac:dyDescent="0.2">
      <c r="A2">
        <v>108000</v>
      </c>
      <c r="B2">
        <v>2700000</v>
      </c>
    </row>
    <row r="3" spans="1:2" x14ac:dyDescent="0.2">
      <c r="A3">
        <v>120000</v>
      </c>
      <c r="B3">
        <v>3200000</v>
      </c>
    </row>
    <row r="4" spans="1:2" x14ac:dyDescent="0.2">
      <c r="A4">
        <v>83000</v>
      </c>
      <c r="B4">
        <v>3250000</v>
      </c>
    </row>
    <row r="5" spans="1:2" x14ac:dyDescent="0.2">
      <c r="A5">
        <v>134000</v>
      </c>
      <c r="B5">
        <v>2850000</v>
      </c>
    </row>
    <row r="6" spans="1:2" x14ac:dyDescent="0.2">
      <c r="A6">
        <v>90000</v>
      </c>
      <c r="B6">
        <v>2790000</v>
      </c>
    </row>
    <row r="7" spans="1:2" x14ac:dyDescent="0.2">
      <c r="A7">
        <v>155000</v>
      </c>
      <c r="B7">
        <v>2768000</v>
      </c>
    </row>
    <row r="8" spans="1:2" x14ac:dyDescent="0.2">
      <c r="A8">
        <v>150000</v>
      </c>
      <c r="B8">
        <v>2375000</v>
      </c>
    </row>
    <row r="9" spans="1:2" x14ac:dyDescent="0.2">
      <c r="A9">
        <v>85000</v>
      </c>
      <c r="B9">
        <v>3095000</v>
      </c>
    </row>
    <row r="10" spans="1:2" x14ac:dyDescent="0.2">
      <c r="A10">
        <v>199000</v>
      </c>
      <c r="B10">
        <v>2049000</v>
      </c>
    </row>
    <row r="11" spans="1:2" x14ac:dyDescent="0.2">
      <c r="A11">
        <v>160000</v>
      </c>
      <c r="B11">
        <v>2400000</v>
      </c>
    </row>
    <row r="12" spans="1:2" x14ac:dyDescent="0.2">
      <c r="A12">
        <v>15258</v>
      </c>
      <c r="B12">
        <v>3399000</v>
      </c>
    </row>
    <row r="13" spans="1:2" x14ac:dyDescent="0.2">
      <c r="A13">
        <v>69000</v>
      </c>
      <c r="B13">
        <v>2635000</v>
      </c>
    </row>
    <row r="14" spans="1:2" x14ac:dyDescent="0.2">
      <c r="A14">
        <v>119000</v>
      </c>
      <c r="B14">
        <v>3349000</v>
      </c>
    </row>
    <row r="15" spans="1:2" x14ac:dyDescent="0.2">
      <c r="A15">
        <v>19000</v>
      </c>
      <c r="B15">
        <v>4175000</v>
      </c>
    </row>
    <row r="16" spans="1:2" x14ac:dyDescent="0.2">
      <c r="A16">
        <v>148000</v>
      </c>
      <c r="B16">
        <v>2575000</v>
      </c>
    </row>
    <row r="17" spans="1:2" x14ac:dyDescent="0.2">
      <c r="A17">
        <v>215000</v>
      </c>
      <c r="B17">
        <v>2275000</v>
      </c>
    </row>
    <row r="18" spans="1:2" x14ac:dyDescent="0.2">
      <c r="A18">
        <v>125000</v>
      </c>
      <c r="B18">
        <v>2618999</v>
      </c>
    </row>
    <row r="19" spans="1:2" x14ac:dyDescent="0.2">
      <c r="A19">
        <v>98600</v>
      </c>
      <c r="B19">
        <v>2325000</v>
      </c>
    </row>
    <row r="20" spans="1:2" x14ac:dyDescent="0.2">
      <c r="A20">
        <v>99000</v>
      </c>
      <c r="B20">
        <v>2750000</v>
      </c>
    </row>
    <row r="21" spans="1:2" x14ac:dyDescent="0.2">
      <c r="A21">
        <v>275000</v>
      </c>
      <c r="B21">
        <v>1275000</v>
      </c>
    </row>
    <row r="22" spans="1:2" x14ac:dyDescent="0.2">
      <c r="A22">
        <v>145000</v>
      </c>
      <c r="B22">
        <v>2675000</v>
      </c>
    </row>
    <row r="23" spans="1:2" x14ac:dyDescent="0.2">
      <c r="A23">
        <v>515000</v>
      </c>
      <c r="B23">
        <v>1000000</v>
      </c>
    </row>
    <row r="24" spans="1:2" x14ac:dyDescent="0.2">
      <c r="A24">
        <v>120000</v>
      </c>
      <c r="B24">
        <v>2850000</v>
      </c>
    </row>
    <row r="25" spans="1:2" x14ac:dyDescent="0.2">
      <c r="A25">
        <v>163000</v>
      </c>
      <c r="B25">
        <v>2540000</v>
      </c>
    </row>
    <row r="26" spans="1:2" x14ac:dyDescent="0.2">
      <c r="A26">
        <v>83000</v>
      </c>
      <c r="B26">
        <v>2850000</v>
      </c>
    </row>
    <row r="27" spans="1:2" x14ac:dyDescent="0.2">
      <c r="A27">
        <v>34000</v>
      </c>
      <c r="B27">
        <v>4200000</v>
      </c>
    </row>
    <row r="28" spans="1:2" x14ac:dyDescent="0.2">
      <c r="A28">
        <v>103000</v>
      </c>
      <c r="B28">
        <v>3475000</v>
      </c>
    </row>
    <row r="29" spans="1:2" x14ac:dyDescent="0.2">
      <c r="A29">
        <v>210000</v>
      </c>
      <c r="B29">
        <v>2435000</v>
      </c>
    </row>
    <row r="30" spans="1:2" x14ac:dyDescent="0.2">
      <c r="A30">
        <v>114000</v>
      </c>
      <c r="B30">
        <v>2675000</v>
      </c>
    </row>
    <row r="31" spans="1:2" x14ac:dyDescent="0.2">
      <c r="A31">
        <v>173000</v>
      </c>
      <c r="B31">
        <v>2450000</v>
      </c>
    </row>
    <row r="32" spans="1:2" x14ac:dyDescent="0.2">
      <c r="A32">
        <v>159000</v>
      </c>
      <c r="B32">
        <v>2543000</v>
      </c>
    </row>
    <row r="33" spans="1:2" x14ac:dyDescent="0.2">
      <c r="A33">
        <v>245000</v>
      </c>
      <c r="B33">
        <v>2350000</v>
      </c>
    </row>
    <row r="34" spans="1:2" x14ac:dyDescent="0.2">
      <c r="A34">
        <v>195000</v>
      </c>
      <c r="B34">
        <v>1300000</v>
      </c>
    </row>
    <row r="35" spans="1:2" x14ac:dyDescent="0.2">
      <c r="A35">
        <v>115000</v>
      </c>
      <c r="B35">
        <v>2815000</v>
      </c>
    </row>
    <row r="36" spans="1:2" x14ac:dyDescent="0.2">
      <c r="A36">
        <v>173000</v>
      </c>
      <c r="B36">
        <v>1950000</v>
      </c>
    </row>
    <row r="37" spans="1:2" x14ac:dyDescent="0.2">
      <c r="A37">
        <v>119000</v>
      </c>
      <c r="B37">
        <v>2530000</v>
      </c>
    </row>
    <row r="38" spans="1:2" x14ac:dyDescent="0.2">
      <c r="A38">
        <v>80000</v>
      </c>
      <c r="B38">
        <v>2879000</v>
      </c>
    </row>
    <row r="39" spans="1:2" x14ac:dyDescent="0.2">
      <c r="A39">
        <v>81000</v>
      </c>
      <c r="B39">
        <v>3020000</v>
      </c>
    </row>
    <row r="40" spans="1:2" x14ac:dyDescent="0.2">
      <c r="A40">
        <v>65000</v>
      </c>
      <c r="B40">
        <v>2910000</v>
      </c>
    </row>
    <row r="41" spans="1:2" x14ac:dyDescent="0.2">
      <c r="A41">
        <v>82000</v>
      </c>
      <c r="B41">
        <v>3800000</v>
      </c>
    </row>
    <row r="42" spans="1:2" x14ac:dyDescent="0.2">
      <c r="A42">
        <v>60000</v>
      </c>
      <c r="B42">
        <v>3100000</v>
      </c>
    </row>
    <row r="43" spans="1:2" x14ac:dyDescent="0.2">
      <c r="A43">
        <v>50000</v>
      </c>
      <c r="B43">
        <v>3380000</v>
      </c>
    </row>
    <row r="44" spans="1:2" x14ac:dyDescent="0.2">
      <c r="A44">
        <v>130000</v>
      </c>
      <c r="B44">
        <v>2990000</v>
      </c>
    </row>
    <row r="45" spans="1:2" x14ac:dyDescent="0.2">
      <c r="A45">
        <v>102000</v>
      </c>
      <c r="B45">
        <v>2670000</v>
      </c>
    </row>
    <row r="46" spans="1:2" x14ac:dyDescent="0.2">
      <c r="A46">
        <v>126000</v>
      </c>
      <c r="B46">
        <v>2900000</v>
      </c>
    </row>
    <row r="47" spans="1:2" x14ac:dyDescent="0.2">
      <c r="A47">
        <v>156500</v>
      </c>
      <c r="B47">
        <v>2535000</v>
      </c>
    </row>
    <row r="48" spans="1:2" x14ac:dyDescent="0.2">
      <c r="A48">
        <v>92000</v>
      </c>
      <c r="B48">
        <v>2970000</v>
      </c>
    </row>
    <row r="49" spans="1:2" x14ac:dyDescent="0.2">
      <c r="A49">
        <v>142500</v>
      </c>
      <c r="B49">
        <v>3065000</v>
      </c>
    </row>
    <row r="50" spans="1:2" x14ac:dyDescent="0.2">
      <c r="A50">
        <v>89000</v>
      </c>
      <c r="B50">
        <v>2865000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6FF22-3E3D-DD40-8025-2C1B0EFFB2B0}">
  <dimension ref="A1:B50"/>
  <sheetViews>
    <sheetView zoomScale="82" workbookViewId="0">
      <selection activeCell="B1" activeCellId="1" sqref="A1:A1048576 B1:B1048576"/>
    </sheetView>
  </sheetViews>
  <sheetFormatPr baseColWidth="10" defaultRowHeight="16" x14ac:dyDescent="0.2"/>
  <sheetData>
    <row r="1" spans="1:2" x14ac:dyDescent="0.2">
      <c r="A1">
        <v>7</v>
      </c>
      <c r="B1">
        <v>2690000</v>
      </c>
    </row>
    <row r="2" spans="1:2" x14ac:dyDescent="0.2">
      <c r="A2">
        <v>5</v>
      </c>
      <c r="B2">
        <v>2700000</v>
      </c>
    </row>
    <row r="3" spans="1:2" x14ac:dyDescent="0.2">
      <c r="A3">
        <v>7</v>
      </c>
      <c r="B3">
        <v>3200000</v>
      </c>
    </row>
    <row r="4" spans="1:2" x14ac:dyDescent="0.2">
      <c r="A4">
        <v>6</v>
      </c>
      <c r="B4">
        <v>3250000</v>
      </c>
    </row>
    <row r="5" spans="1:2" x14ac:dyDescent="0.2">
      <c r="A5">
        <v>5</v>
      </c>
      <c r="B5">
        <v>2850000</v>
      </c>
    </row>
    <row r="6" spans="1:2" x14ac:dyDescent="0.2">
      <c r="A6">
        <v>7</v>
      </c>
      <c r="B6">
        <v>2790000</v>
      </c>
    </row>
    <row r="7" spans="1:2" x14ac:dyDescent="0.2">
      <c r="A7">
        <v>5</v>
      </c>
      <c r="B7">
        <v>2768000</v>
      </c>
    </row>
    <row r="8" spans="1:2" x14ac:dyDescent="0.2">
      <c r="A8">
        <v>6</v>
      </c>
      <c r="B8">
        <v>2375000</v>
      </c>
    </row>
    <row r="9" spans="1:2" x14ac:dyDescent="0.2">
      <c r="A9">
        <v>6</v>
      </c>
      <c r="B9">
        <v>3095000</v>
      </c>
    </row>
    <row r="10" spans="1:2" x14ac:dyDescent="0.2">
      <c r="A10">
        <v>7</v>
      </c>
      <c r="B10">
        <v>2049000</v>
      </c>
    </row>
    <row r="11" spans="1:2" x14ac:dyDescent="0.2">
      <c r="A11">
        <v>6</v>
      </c>
      <c r="B11">
        <v>2400000</v>
      </c>
    </row>
    <row r="12" spans="1:2" x14ac:dyDescent="0.2">
      <c r="A12">
        <v>5</v>
      </c>
      <c r="B12">
        <v>3399000</v>
      </c>
    </row>
    <row r="13" spans="1:2" x14ac:dyDescent="0.2">
      <c r="A13">
        <v>7</v>
      </c>
      <c r="B13">
        <v>2635000</v>
      </c>
    </row>
    <row r="14" spans="1:2" x14ac:dyDescent="0.2">
      <c r="A14">
        <v>6</v>
      </c>
      <c r="B14">
        <v>3349000</v>
      </c>
    </row>
    <row r="15" spans="1:2" x14ac:dyDescent="0.2">
      <c r="A15">
        <v>3</v>
      </c>
      <c r="B15">
        <v>4175000</v>
      </c>
    </row>
    <row r="16" spans="1:2" x14ac:dyDescent="0.2">
      <c r="A16">
        <v>6</v>
      </c>
      <c r="B16">
        <v>2575000</v>
      </c>
    </row>
    <row r="17" spans="1:2" x14ac:dyDescent="0.2">
      <c r="A17">
        <v>7</v>
      </c>
      <c r="B17">
        <v>2275000</v>
      </c>
    </row>
    <row r="18" spans="1:2" x14ac:dyDescent="0.2">
      <c r="A18">
        <v>6</v>
      </c>
      <c r="B18">
        <v>2618999</v>
      </c>
    </row>
    <row r="19" spans="1:2" x14ac:dyDescent="0.2">
      <c r="A19">
        <v>6</v>
      </c>
      <c r="B19">
        <v>2325000</v>
      </c>
    </row>
    <row r="20" spans="1:2" x14ac:dyDescent="0.2">
      <c r="A20">
        <v>6</v>
      </c>
      <c r="B20">
        <v>2750000</v>
      </c>
    </row>
    <row r="21" spans="1:2" x14ac:dyDescent="0.2">
      <c r="A21">
        <v>13</v>
      </c>
      <c r="B21">
        <v>1275000</v>
      </c>
    </row>
    <row r="22" spans="1:2" x14ac:dyDescent="0.2">
      <c r="A22">
        <v>6</v>
      </c>
      <c r="B22">
        <v>2675000</v>
      </c>
    </row>
    <row r="23" spans="1:2" x14ac:dyDescent="0.2">
      <c r="A23">
        <v>14</v>
      </c>
      <c r="B23">
        <v>1000000</v>
      </c>
    </row>
    <row r="24" spans="1:2" x14ac:dyDescent="0.2">
      <c r="A24">
        <v>6</v>
      </c>
      <c r="B24">
        <v>2850000</v>
      </c>
    </row>
    <row r="25" spans="1:2" x14ac:dyDescent="0.2">
      <c r="A25">
        <v>6</v>
      </c>
      <c r="B25">
        <v>2540000</v>
      </c>
    </row>
    <row r="26" spans="1:2" x14ac:dyDescent="0.2">
      <c r="A26">
        <v>6</v>
      </c>
      <c r="B26">
        <v>2850000</v>
      </c>
    </row>
    <row r="27" spans="1:2" x14ac:dyDescent="0.2">
      <c r="A27">
        <v>3</v>
      </c>
      <c r="B27">
        <v>4200000</v>
      </c>
    </row>
    <row r="28" spans="1:2" x14ac:dyDescent="0.2">
      <c r="A28">
        <v>3</v>
      </c>
      <c r="B28">
        <v>3475000</v>
      </c>
    </row>
    <row r="29" spans="1:2" x14ac:dyDescent="0.2">
      <c r="A29">
        <v>7</v>
      </c>
      <c r="B29">
        <v>2435000</v>
      </c>
    </row>
    <row r="30" spans="1:2" x14ac:dyDescent="0.2">
      <c r="A30">
        <v>7</v>
      </c>
      <c r="B30">
        <v>2675000</v>
      </c>
    </row>
    <row r="31" spans="1:2" x14ac:dyDescent="0.2">
      <c r="A31">
        <v>6</v>
      </c>
      <c r="B31">
        <v>2450000</v>
      </c>
    </row>
    <row r="32" spans="1:2" x14ac:dyDescent="0.2">
      <c r="A32">
        <v>7</v>
      </c>
      <c r="B32">
        <v>2543000</v>
      </c>
    </row>
    <row r="33" spans="1:2" x14ac:dyDescent="0.2">
      <c r="A33">
        <v>6</v>
      </c>
      <c r="B33">
        <v>2350000</v>
      </c>
    </row>
    <row r="34" spans="1:2" x14ac:dyDescent="0.2">
      <c r="A34">
        <v>11</v>
      </c>
      <c r="B34">
        <v>1300000</v>
      </c>
    </row>
    <row r="35" spans="1:2" x14ac:dyDescent="0.2">
      <c r="A35">
        <v>6</v>
      </c>
      <c r="B35">
        <v>2815000</v>
      </c>
    </row>
    <row r="36" spans="1:2" x14ac:dyDescent="0.2">
      <c r="A36">
        <v>10</v>
      </c>
      <c r="B36">
        <v>1950000</v>
      </c>
    </row>
    <row r="37" spans="1:2" x14ac:dyDescent="0.2">
      <c r="A37">
        <v>5</v>
      </c>
      <c r="B37">
        <v>2530000</v>
      </c>
    </row>
    <row r="38" spans="1:2" x14ac:dyDescent="0.2">
      <c r="A38">
        <v>6</v>
      </c>
      <c r="B38">
        <v>2879000</v>
      </c>
    </row>
    <row r="39" spans="1:2" x14ac:dyDescent="0.2">
      <c r="A39">
        <v>4</v>
      </c>
      <c r="B39">
        <v>3020000</v>
      </c>
    </row>
    <row r="40" spans="1:2" x14ac:dyDescent="0.2">
      <c r="A40">
        <v>7</v>
      </c>
      <c r="B40">
        <v>2910000</v>
      </c>
    </row>
    <row r="41" spans="1:2" x14ac:dyDescent="0.2">
      <c r="A41">
        <v>3</v>
      </c>
      <c r="B41">
        <v>3800000</v>
      </c>
    </row>
    <row r="42" spans="1:2" x14ac:dyDescent="0.2">
      <c r="A42">
        <v>5</v>
      </c>
      <c r="B42">
        <v>3100000</v>
      </c>
    </row>
    <row r="43" spans="1:2" x14ac:dyDescent="0.2">
      <c r="A43">
        <v>2</v>
      </c>
      <c r="B43">
        <v>3380000</v>
      </c>
    </row>
    <row r="44" spans="1:2" x14ac:dyDescent="0.2">
      <c r="A44">
        <v>6</v>
      </c>
      <c r="B44">
        <v>2990000</v>
      </c>
    </row>
    <row r="45" spans="1:2" x14ac:dyDescent="0.2">
      <c r="A45">
        <v>7</v>
      </c>
      <c r="B45">
        <v>2670000</v>
      </c>
    </row>
    <row r="46" spans="1:2" x14ac:dyDescent="0.2">
      <c r="A46">
        <v>6</v>
      </c>
      <c r="B46">
        <v>2900000</v>
      </c>
    </row>
    <row r="47" spans="1:2" x14ac:dyDescent="0.2">
      <c r="A47">
        <v>7</v>
      </c>
      <c r="B47">
        <v>2535000</v>
      </c>
    </row>
    <row r="48" spans="1:2" x14ac:dyDescent="0.2">
      <c r="A48">
        <v>6</v>
      </c>
      <c r="B48">
        <v>2970000</v>
      </c>
    </row>
    <row r="49" spans="1:2" x14ac:dyDescent="0.2">
      <c r="A49">
        <v>4</v>
      </c>
      <c r="B49">
        <v>3065000</v>
      </c>
    </row>
    <row r="50" spans="1:2" x14ac:dyDescent="0.2">
      <c r="A50">
        <v>3</v>
      </c>
      <c r="B50">
        <v>2865000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sahibinden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 CANBULA</dc:creator>
  <cp:lastModifiedBy>Bora CANBULA</cp:lastModifiedBy>
  <dcterms:created xsi:type="dcterms:W3CDTF">2026-04-17T14:06:25Z</dcterms:created>
  <dcterms:modified xsi:type="dcterms:W3CDTF">2026-04-24T08:15:05Z</dcterms:modified>
</cp:coreProperties>
</file>